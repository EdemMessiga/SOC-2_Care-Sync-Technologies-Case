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agement Overview" sheetId="1" state="visible" r:id="rId3"/>
    <sheet name="Controls Matrix" sheetId="2" state="visible" r:id="rId4"/>
    <sheet name="Exception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<sst xmlns="http://schemas.openxmlformats.org/spreadsheetml/2006/main" count="733" uniqueCount="491">
  <si>
    <t xml:space="preserve">SOC 2 TYPE I | READINESS ASSESSMENT WORKBOOK</t>
  </si>
  <si>
    <t xml:space="preserve">CareSync Technologies Inc. | Privacy &amp; Compliance Office | May 2026 | CONFIDENTIAL</t>
  </si>
  <si>
    <t xml:space="preserve">Engagement Title</t>
  </si>
  <si>
    <t xml:space="preserve">SOC 2 Type I Readiness Assessment | Cloud-Based EHR Platform</t>
  </si>
  <si>
    <t xml:space="preserve">Client (Fictional)</t>
  </si>
  <si>
    <t xml:space="preserve">CareSync Technologies Inc. | Canadian Health IT SaaS (federally incorporated)</t>
  </si>
  <si>
    <t xml:space="preserve">Engagement Lead</t>
  </si>
  <si>
    <t xml:space="preserve">Edem Messiga, ISO 27001 Certified Lead Auditor | Privacy &amp; Compliance Office</t>
  </si>
  <si>
    <t xml:space="preserve">System Description</t>
  </si>
  <si>
    <t xml:space="preserve">Multi-tenant cloud EHR platform (AWS Canada, GovCloud-equivalent) serving 47 hospitals and 312 clinics across Canada</t>
  </si>
  <si>
    <t xml:space="preserve">Patient Records in Scope</t>
  </si>
  <si>
    <t xml:space="preserve">Approx. 4.2M patient records processed; includes PSI under PHIPA (Ontario) and PIPA (Alberta)</t>
  </si>
  <si>
    <t xml:space="preserve">Regulatory Context</t>
  </si>
  <si>
    <t xml:space="preserve">PHIPA (Ontario); PIPA (Alberta); PIPEDA; OSFI (indirectly via hospital clients); CRTC CASL</t>
  </si>
  <si>
    <t xml:space="preserve">Assessment Type</t>
  </si>
  <si>
    <t xml:space="preserve">SOC 2 Type I | Control Design Adequacy (pre-CPA firm engagement)</t>
  </si>
  <si>
    <t xml:space="preserve">Trust Services Criteria</t>
  </si>
  <si>
    <t xml:space="preserve">Security (CC1 to CC9), Availability (A1), Confidentiality (C1), Privacy (P)</t>
  </si>
  <si>
    <t xml:space="preserve">Assessment Trigger</t>
  </si>
  <si>
    <t xml:space="preserve">Enterprise hospital client (Ontario Health) requires SOC 2 Type II by Q1 2027; Type I is prerequisite</t>
  </si>
  <si>
    <t xml:space="preserve">Assessment Period</t>
  </si>
  <si>
    <t xml:space="preserve">01 May 2026 to 23 May 2026</t>
  </si>
  <si>
    <t xml:space="preserve">Report Date</t>
  </si>
  <si>
    <t xml:space="preserve">May 25, 2026</t>
  </si>
  <si>
    <t xml:space="preserve">Classification</t>
  </si>
  <si>
    <t xml:space="preserve">Confidential | Privacy &amp; Compliance Office, CISO, CEO, Board Audit Committee</t>
  </si>
  <si>
    <t xml:space="preserve">Trust Services Criteria | Assessment Coverage</t>
  </si>
  <si>
    <t xml:space="preserve">TSC Category</t>
  </si>
  <si>
    <t xml:space="preserve">Criteria Assessed</t>
  </si>
  <si>
    <t xml:space="preserve">Regulatory Alignment</t>
  </si>
  <si>
    <t xml:space="preserve">Priority</t>
  </si>
  <si>
    <t xml:space="preserve">CC | Common Criteria (Security)</t>
  </si>
  <si>
    <t xml:space="preserve">CC1.1 to CC9.2 (19 criteria assessed)</t>
  </si>
  <si>
    <t xml:space="preserve">PHIPA s.12 (safeguards); PIPEDA Principle 7; ISO 27001 Annex A</t>
  </si>
  <si>
    <t xml:space="preserve">Critical</t>
  </si>
  <si>
    <t xml:space="preserve">A1 | Availability</t>
  </si>
  <si>
    <t xml:space="preserve">A1.1 to A1.3 (3 criteria)</t>
  </si>
  <si>
    <t xml:space="preserve">PHIPA s.13 (access); Ontario Health SLA requirements; CSA CCM v4</t>
  </si>
  <si>
    <t xml:space="preserve">High</t>
  </si>
  <si>
    <t xml:space="preserve">C1 | Confidentiality</t>
  </si>
  <si>
    <t xml:space="preserve">C1.1 to C1.2 (2 criteria)</t>
  </si>
  <si>
    <t xml:space="preserve">PHIPA s.10 (disclosure); PIPA s.19; PIPEDA Principle 5</t>
  </si>
  <si>
    <t xml:space="preserve">P | Privacy</t>
  </si>
  <si>
    <t xml:space="preserve">P1.1 to P8.1 (8 criteria assessed)</t>
  </si>
  <si>
    <t xml:space="preserve">PHIPA ss.29 to 41; PIPEDA Ten Principles; Bill C-27 readiness</t>
  </si>
  <si>
    <t xml:space="preserve">Overall Design Adequacy Summary</t>
  </si>
  <si>
    <t xml:space="preserve">TSC</t>
  </si>
  <si>
    <t xml:space="preserve">Designed</t>
  </si>
  <si>
    <t xml:space="preserve">Partial</t>
  </si>
  <si>
    <t xml:space="preserve">Not Designed</t>
  </si>
  <si>
    <t xml:space="preserve">CC | Common Criteria</t>
  </si>
  <si>
    <t xml:space="preserve">TOTALS</t>
  </si>
  <si>
    <t xml:space="preserve">Design Adequacy Rate (Designed / Total)</t>
  </si>
  <si>
    <t xml:space="preserve">SOC 2 Type I | Controls Matrix | CareSync Technologies Inc. | May 2026</t>
  </si>
  <si>
    <t xml:space="preserve">Auditor: Edem Messiga | System: Multi-Tenant EHR Platform (AWS Canada) | Assessment Trigger: Ontario Health SOC 2 Type II Requirement</t>
  </si>
  <si>
    <t xml:space="preserve">Ctrl ID</t>
  </si>
  <si>
    <t xml:space="preserve">TSC Ref</t>
  </si>
  <si>
    <t xml:space="preserve">TSC Criterion</t>
  </si>
  <si>
    <t xml:space="preserve">Control Activity</t>
  </si>
  <si>
    <t xml:space="preserve">Control Type</t>
  </si>
  <si>
    <t xml:space="preserve">Healthcare-Specific Context</t>
  </si>
  <si>
    <t xml:space="preserve">Design Status</t>
  </si>
  <si>
    <t xml:space="preserve">Design Gap</t>
  </si>
  <si>
    <t xml:space="preserve">Risk Rating</t>
  </si>
  <si>
    <t xml:space="preserve">Root Cause</t>
  </si>
  <si>
    <t xml:space="preserve">Recommended Action</t>
  </si>
  <si>
    <t xml:space="preserve">Control Owner</t>
  </si>
  <si>
    <t xml:space="preserve">Target Date</t>
  </si>
  <si>
    <t xml:space="preserve">PHIPA / Regulatory Ref</t>
  </si>
  <si>
    <t xml:space="preserve">Workpaper</t>
  </si>
  <si>
    <t xml:space="preserve">CS-CC1.1</t>
  </si>
  <si>
    <t xml:space="preserve">CC1.1</t>
  </si>
  <si>
    <t xml:space="preserve">Management demonstrates commitment to integrity and ethical values; a code of conduct is documented, approved, and signed by all staff.</t>
  </si>
  <si>
    <t xml:space="preserve">Code of Conduct approved by Board; all employees and contractors sign at onboarding and annually; completion tracked in Workday LMS. Executive management models expected behaviour through documented decisions.</t>
  </si>
  <si>
    <t xml:space="preserve">Preventive</t>
  </si>
  <si>
    <t xml:space="preserve">PHI access requires signed Code of Conduct | PHIPA s.12(1) requires covered persons to be bound by confidentiality obligations.</t>
  </si>
  <si>
    <t xml:space="preserve">Designed and Implemented</t>
  </si>
  <si>
    <t xml:space="preserve">N/A</t>
  </si>
  <si>
    <t xml:space="preserve">Maintain annual re-acknowledgement cycle; add explicit PHI handling obligations to next Code of Conduct revision.</t>
  </si>
  <si>
    <t xml:space="preserve">Chief People Officer</t>
  </si>
  <si>
    <t xml:space="preserve">PHIPA s.12(1); PIPEDA Principle 1</t>
  </si>
  <si>
    <t xml:space="preserve">WP-CC1-001</t>
  </si>
  <si>
    <t xml:space="preserve">CS-CC1.2</t>
  </si>
  <si>
    <t xml:space="preserve">CC1.2</t>
  </si>
  <si>
    <t xml:space="preserve">Board of Directors exercises independent oversight of the system; a Board Audit Committee reviews security and privacy risks quarterly.</t>
  </si>
  <si>
    <t xml:space="preserve">Board Audit Committee meets quarterly; CISO presents cybersecurity and privacy risk dashboard; committee charter specifies technology and privacy risk oversight responsibilities.</t>
  </si>
  <si>
    <t xml:space="preserve">Healthcare data breaches require Board-level awareness under PHIPA and anticipated CPPA | Board oversight is expected by Ontario's Information and Privacy Commissioner (IPC).</t>
  </si>
  <si>
    <t xml:space="preserve">Partially Designed</t>
  </si>
  <si>
    <t xml:space="preserve">Board Audit Committee receives CISO dashboard but no formal privacy-specific risk framework is presented. Dashboard does not separate PHI-related risks from general security risks | Ontario Health contract requires explicit PHI risk reporting to governance bodies.</t>
  </si>
  <si>
    <t xml:space="preserve">Medium</t>
  </si>
  <si>
    <t xml:space="preserve">PHI risk is embedded in general security metrics and not surfaced as a distinct category. Board charter does not explicitly reference PHIPA compliance oversight.</t>
  </si>
  <si>
    <t xml:space="preserve">Develop a separate PHI Risk Dashboard with PHIPA-specific KRIs (breach incidents, access anomalies, consent violations). Present to Board Audit Committee quarterly.</t>
  </si>
  <si>
    <t xml:space="preserve">CISO / Privacy Officer</t>
  </si>
  <si>
    <t xml:space="preserve">2026-07-31</t>
  </si>
  <si>
    <t xml:space="preserve">PHIPA s.12; Ontario Health Contract Schedule C</t>
  </si>
  <si>
    <t xml:space="preserve">WP-CC1-002</t>
  </si>
  <si>
    <t xml:space="preserve">CS-CC1.3</t>
  </si>
  <si>
    <t xml:space="preserve">CC1.3</t>
  </si>
  <si>
    <t xml:space="preserve">Organizational structure, reporting lines, and accountability for security and privacy are formally defined; a designated Privacy Officer exists.</t>
  </si>
  <si>
    <t xml:space="preserve">Org chart current and Board-approved. Privacy Officer designated (VP Legal and Privacy). CISO role established with charter. Security and Privacy are separate reporting lines to CEO.</t>
  </si>
  <si>
    <t xml:space="preserve">PHIPA s.15 requires a designated Contact for Privacy (effectively a Privacy Officer). PIPA s.5 requires a designated Privacy Officer.</t>
  </si>
  <si>
    <t xml:space="preserve">No action required. Maintain org chart currency | update within 30 days of any reporting line change.</t>
  </si>
  <si>
    <t xml:space="preserve">CEO</t>
  </si>
  <si>
    <t xml:space="preserve">PHIPA s.15; PIPA s.5</t>
  </si>
  <si>
    <t xml:space="preserve">WP-CC1-003</t>
  </si>
  <si>
    <t xml:space="preserve">CS-CC2.1</t>
  </si>
  <si>
    <t xml:space="preserve">CC2.1</t>
  </si>
  <si>
    <t xml:space="preserve">Management uses relevant quality information to support internal controls; security and privacy KPIs are defined and reviewed regularly.</t>
  </si>
  <si>
    <t xml:space="preserve">Monthly security metrics dashboard reviewed by CISO and Privacy Officer. KPIs include: PHI access anomalies, failed authentication rate, vulnerability SLA compliance, incident MTTR, and patient complaint rate.</t>
  </si>
  <si>
    <t xml:space="preserve">Detective</t>
  </si>
  <si>
    <t xml:space="preserve">PHI access anomaly detection is directly required under PHIPA s.12 | covered entities must have processes to identify inappropriate access to PHI.</t>
  </si>
  <si>
    <t xml:space="preserve">PHI access anomaly KPI is tracked in the dashboard but alert thresholds are not formally defined | currently flagged at 'CISO discretion'. No documented escalation matrix specifying when anomalies trigger a PHIPA privacy breach investigation.</t>
  </si>
  <si>
    <t xml:space="preserve">Anomaly detection threshold definition was deferred when the SIEM (Splunk) was deployed because the PHI access baseline had not yet been established after platform launch.</t>
  </si>
  <si>
    <t xml:space="preserve">Define and document PHI access anomaly thresholds based on 90-day baseline. Establish escalation matrix: anomaly detected → Privacy Officer notified within 2 hours → PHIPA breach assessment within 24 hours.</t>
  </si>
  <si>
    <t xml:space="preserve">2026-06-30</t>
  </si>
  <si>
    <t xml:space="preserve">PHIPA s.12(2); PIPEDA Breach Reg. SOR/2018-64</t>
  </si>
  <si>
    <t xml:space="preserve">WP-CC2-001</t>
  </si>
  <si>
    <t xml:space="preserve">CS-CC2.2</t>
  </si>
  <si>
    <t xml:space="preserve">CC2.2</t>
  </si>
  <si>
    <t xml:space="preserve">Internal communication of security and privacy policies reaches all relevant parties; a security awareness training program exists and is tracked.</t>
  </si>
  <si>
    <t xml:space="preserve">Annual security awareness training mandatory for all staff via Workday LMS. Training includes PHI handling, PHIPA obligations, breach reporting, and social engineering. Completion tracked.</t>
  </si>
  <si>
    <t xml:space="preserve">PHIPA s.12 requires agents (staff) to be informed of their privacy obligations. Healthcare-specific phishing and social engineering targeting PHI are documented threat vectors (Health-ISAC).</t>
  </si>
  <si>
    <t xml:space="preserve">Add PHIPA-specific module covering Ontario IPC breach notification timelines (72-hour rule for significant breaches under anticipated amendments). Conduct phishing simulation quarterly.</t>
  </si>
  <si>
    <t xml:space="preserve">Privacy Officer / CISO</t>
  </si>
  <si>
    <t xml:space="preserve">PHIPA s.12; Health-ISAC TLP:WHITE advisories</t>
  </si>
  <si>
    <t xml:space="preserve">WP-CC2-002</t>
  </si>
  <si>
    <t xml:space="preserve">CS-CC3.1</t>
  </si>
  <si>
    <t xml:space="preserve">CC3.1</t>
  </si>
  <si>
    <t xml:space="preserve">Security and privacy risk assessment is conducted at least annually using a documented methodology; risks to PHI are explicitly assessed.</t>
  </si>
  <si>
    <t xml:space="preserve">Annual risk assessment uses ISO 27005 methodology with a 5x5 likelihood-impact matrix. Risk register is maintained in Jira and reviewed quarterly. PHI-specific threat scenarios included (ransomware targeting EHR, insider PHI access, cloud misconfiguration).</t>
  </si>
  <si>
    <t xml:space="preserve">PHIPA s.12 requires covered entities to take reasonable steps to protect PHI | risk assessment is the foundation for identifying what those steps must be. Ontario Health contract requires annual risk assessment with PHI focus.</t>
  </si>
  <si>
    <t xml:space="preserve">No action required. Ensure next annual assessment (Dec 2026) includes threat intelligence from Health-ISAC and Canadian Centre for Cyber Security (CCCS) healthcare sector advisories.</t>
  </si>
  <si>
    <t xml:space="preserve">CISO</t>
  </si>
  <si>
    <t xml:space="preserve">PHIPA s.12; ISO 27005; CCCS ITSM.10.093</t>
  </si>
  <si>
    <t xml:space="preserve">WP-CC3-001</t>
  </si>
  <si>
    <t xml:space="preserve">CS-CC3.2</t>
  </si>
  <si>
    <t xml:space="preserve">CC3.2</t>
  </si>
  <si>
    <t xml:space="preserve">Management considers the potential for fraud and misuse of PHI in assessing risks; insider threat scenarios are documented.</t>
  </si>
  <si>
    <t xml:space="preserve">Insider threat scenarios documented in risk register. Includes: unauthorized PHI access by clinical staff (curiosity access), PHI exfiltration for insurance fraud, and credential sharing among clinical users.</t>
  </si>
  <si>
    <t xml:space="preserve">Preventive and Detective</t>
  </si>
  <si>
    <t xml:space="preserve">Insider curiosity access to PHI (accessing celebrity or family member records) is the most common PHIPA breach type in Canadian healthcare | documented in Ontario IPC Annual Report 2024.</t>
  </si>
  <si>
    <t xml:space="preserve">Insider threat scenarios are documented in the risk register but no dedicated insider threat monitoring program exists. PHI access is logged but logs are not automatically analysed for curiosity access patterns (e.g., a nurse accessing patient records outside their unit or shift).</t>
  </si>
  <si>
    <t xml:space="preserve">Implementing behavioural analytics for PHI access patterns was deferred pending selection of a UEBA tool. Budget was approved in Q4 2025 but procurement has not commenced.</t>
  </si>
  <si>
    <t xml:space="preserve">Accelerate UEBA tool procurement | evaluate vendors within Q2 2026. Interim: implement manual weekly review of PHI access logs for accounts accessing more than 50 records/day outside normal shift hours.</t>
  </si>
  <si>
    <t xml:space="preserve">2026-09-30</t>
  </si>
  <si>
    <t xml:space="preserve">PHIPA s.12(2); Ontario IPC Investigation Report HC-000123-2024</t>
  </si>
  <si>
    <t xml:space="preserve">WP-CC3-002</t>
  </si>
  <si>
    <t xml:space="preserve">CS-CC4.1</t>
  </si>
  <si>
    <t xml:space="preserve">CC4.1</t>
  </si>
  <si>
    <t xml:space="preserve">Management performs ongoing and periodic evaluations of controls; internal control reviews are conducted at least quarterly with documented findings.</t>
  </si>
  <si>
    <t xml:space="preserve">Quarterly internal control reviews scheduled. Privacy Officer conducts quarterly PHIPA compliance review. CISO conducts quarterly security control spot-check. Results documented in Confluence.</t>
  </si>
  <si>
    <t xml:space="preserve">PHIPA requires covered entities to have internal review processes | Ontario IPC expects documented evidence of ongoing compliance monitoring.</t>
  </si>
  <si>
    <t xml:space="preserve">Quarterly reviews are conducted but findings are documented informally in Confluence wiki pages without a standardized template. No formal deficiency tracking or remediation SLA | findings are noted but follow-up is ad hoc.</t>
  </si>
  <si>
    <t xml:space="preserve">Standardized deficiency tracking template was planned for Q1 2026 but deprioritized due to SOC 2 readiness preparation. Confluence pages lack version control and audit trail.</t>
  </si>
  <si>
    <t xml:space="preserve">Implement standardized quarterly review template with deficiency ID, risk rating, owner, and SLA. Migrate from Confluence wiki to a controlled document with version history. Assign deficiency tracking to Privacy Officer.</t>
  </si>
  <si>
    <t xml:space="preserve">Privacy Officer</t>
  </si>
  <si>
    <t xml:space="preserve">PHIPA s.12; AICPA TSC CC4.1</t>
  </si>
  <si>
    <t xml:space="preserve">WP-CC4-001</t>
  </si>
  <si>
    <t xml:space="preserve">CS-CC4.2</t>
  </si>
  <si>
    <t xml:space="preserve">CC4.2</t>
  </si>
  <si>
    <t xml:space="preserve">Control deficiencies are evaluated and communicated to responsible parties in a timely manner; a deficiency tracking register is maintained.</t>
  </si>
  <si>
    <t xml:space="preserve">Deficiencies identified in reviews are communicated via email to control owners. Privacy Officer follows up informally.</t>
  </si>
  <si>
    <t xml:space="preserve">Corrective</t>
  </si>
  <si>
    <t xml:space="preserve">In healthcare, unresolved privacy control deficiencies can constitute ongoing PHIPA breaches | prompt remediation is a regulatory obligation, not just a best practice.</t>
  </si>
  <si>
    <t xml:space="preserve">No formal deficiency tracking register exists. Deficiencies identified in quarterly reviews have no assigned IDs, risk ratings, or remediation SLAs. Two deficiencies from the Q4 2025 review were identified as still unresolved during this assessment (PHI audit log review gap and consent record completeness gap) | their persistence was not visible without manual tracking.</t>
  </si>
  <si>
    <t xml:space="preserve">No deficiency tracking tool or process was established when the compliance function was built. The Privacy Officer has been tracking informally via email which creates no audit trail and no escalation mechanism.</t>
  </si>
  <si>
    <t xml:space="preserve">Implement a formal deficiency register in Jira (reuse existing project structure). Each deficiency must have: ID, description, risk rating, owner, target date, status. Weekly review by Privacy Officer. Escalate overdue Critical/High items to CISO.</t>
  </si>
  <si>
    <t xml:space="preserve">2026-06-15</t>
  </si>
  <si>
    <t xml:space="preserve">PHIPA s.12; AICPA TSC CC4.2</t>
  </si>
  <si>
    <t xml:space="preserve">WP-CC4-002</t>
  </si>
  <si>
    <t xml:space="preserve">CS-CC5.1</t>
  </si>
  <si>
    <t xml:space="preserve">CC5.1</t>
  </si>
  <si>
    <t xml:space="preserve">Control activities are designed to mitigate risks to PHI and system availability; policies and procedures are documented and approved.</t>
  </si>
  <si>
    <t xml:space="preserve">Information Security Policy v6.2 and Privacy Policy v4.1 approved by CISO and Privacy Officer respectively. PHI-specific procedures documented: PHI access policy, breach response procedure, consent management SOP.</t>
  </si>
  <si>
    <t xml:space="preserve">PHIPA s.12 requires a written privacy policy. Ontario Health contract requires documented PHI access and handling procedures.</t>
  </si>
  <si>
    <t xml:space="preserve">Schedule annual policy review cycle: Security Policy due Aug 2026; Privacy Policy due Oct 2026.</t>
  </si>
  <si>
    <t xml:space="preserve">PHIPA s.12; Ontario Health Contract Schedule A</t>
  </si>
  <si>
    <t xml:space="preserve">WP-CC5-001</t>
  </si>
  <si>
    <t xml:space="preserve">CS-CC5.2</t>
  </si>
  <si>
    <t xml:space="preserve">CC5.2</t>
  </si>
  <si>
    <t xml:space="preserve">Technology controls including patch management, endpoint protection, and vulnerability scanning are implemented and enforced.</t>
  </si>
  <si>
    <t xml:space="preserve">AWS Systems Manager Patch Manager enforces patches on all EHR application servers. Endpoint protection (CrowdStrike Falcon) deployed on all workstations. Tenable.io vulnerability scans run weekly against all AWS CDE assets.</t>
  </si>
  <si>
    <t xml:space="preserve">Healthcare is the most targeted sector for ransomware in Canada (CCCS 2025 Cyber Threat Assessment). Unpatched EHR systems were the entry vector in 3 of 5 major Canadian healthcare breaches reported in 2024.</t>
  </si>
  <si>
    <t xml:space="preserve">Patch compliance is enforced for the EHR application tier (100% of servers) but 4 of 17 clinical workstations used by CareSync support staff are running Windows 10 21H2 (EOL as of June 2023) | 3 years out of support. CrowdStrike compensates partially but OS-level vulnerabilities remain unpatched.</t>
  </si>
  <si>
    <t xml:space="preserve">The 4 EOL workstations belong to the Level 1 support team. A workstation refresh project was approved in Q3 2025 but has been delayed due to procurement lead times for hardware in northern Ontario delivery locations.</t>
  </si>
  <si>
    <t xml:space="preserve">Expedite workstation refresh for 4 EOL Windows 10 21H2 devices | target completion June 30, 2026. Isolate these workstations from direct EHR access via network policy until refresh is complete. Document as compensating control.</t>
  </si>
  <si>
    <t xml:space="preserve">VP Engineering / IT Operations</t>
  </si>
  <si>
    <t xml:space="preserve">PHIPA s.12; CCCS ITSM.10.093; AICPA TSC CC5.2</t>
  </si>
  <si>
    <t xml:space="preserve">WP-CC5-002</t>
  </si>
  <si>
    <t xml:space="preserve">CS-CC5.3</t>
  </si>
  <si>
    <t xml:space="preserve">CC5.3</t>
  </si>
  <si>
    <t xml:space="preserve">Segregation of duties is enforced for PHI access and system administration; no single individual can both access PHI and administer the systems that log that access.</t>
  </si>
  <si>
    <t xml:space="preserve">Role separation enforced in IAM: PHI access roles (clinical) and system admin roles (IT) are mutually exclusive groups in AWS IAM and Active Directory. Dual-person rule enforced for production database access.</t>
  </si>
  <si>
    <t xml:space="preserve">Segregation of duties for PHI access is a fundamental PHIPA safeguard. A system administrator who can both access PHI and modify or delete access logs represents an unacceptable control environment.</t>
  </si>
  <si>
    <t xml:space="preserve">Conduct semi-annual segregation of duties review to ensure role separation is maintained as staffing changes occur.</t>
  </si>
  <si>
    <t xml:space="preserve">Director, IAM</t>
  </si>
  <si>
    <t xml:space="preserve">PHIPA s.12; PIPEDA Principle 7</t>
  </si>
  <si>
    <t xml:space="preserve">WP-CC5-003</t>
  </si>
  <si>
    <t xml:space="preserve">CS-CC6.1</t>
  </si>
  <si>
    <t xml:space="preserve">CC6.1</t>
  </si>
  <si>
    <t xml:space="preserve">Logical access to PHI is restricted to authorized individuals with a documented clinical need; role-based access control governs all PHI access.</t>
  </si>
  <si>
    <t xml:space="preserve">RBAC implemented in EHR: 12 clinical roles defined, each with access limited to PHI relevant to their care function (e.g., nurse cannot access surgical notes for patients outside their unit). Access provisioned via formal workflow requiring clinical supervisor approval.</t>
  </si>
  <si>
    <t xml:space="preserve">PHIPA s.29 requires PHI access limited to the minimum necessary for the purpose. 'Need to know' is a fundamental PHIPA principle that CareSync must enforce on behalf of its covered entity clients.</t>
  </si>
  <si>
    <t xml:space="preserve">RBAC roles are correctly defined but 3 clinical institutions using CareSync have configured 'super user' accounts (1 per institution) with unrestricted PHI access | used for 'admin purposes'. These accounts are outside the standard RBAC model and were created at client request. No PHIPA justification has been documented for the unrestricted access.</t>
  </si>
  <si>
    <t xml:space="preserve">Healthcare clients requested super user accounts during implementation to handle unusual clinical scenarios. CareSync's implementation team created these accounts without requiring PHIPA justification from the client.</t>
  </si>
  <si>
    <t xml:space="preserve">Require each institution to provide written PHIPA justification for super user accounts within 30 days. If justification is not provided, restrict accounts to the most permissive standard clinical role. Document institution-by-institution in the access control matrix. Add to standard implementation checklist .</t>
  </si>
  <si>
    <t xml:space="preserve">Privacy Officer / Director, IAM</t>
  </si>
  <si>
    <t xml:space="preserve">PHIPA ss.29,30; Ontario Health contract</t>
  </si>
  <si>
    <t xml:space="preserve">WP-CC6-001</t>
  </si>
  <si>
    <t xml:space="preserve">CS-CC6.2</t>
  </si>
  <si>
    <t xml:space="preserve">CC6.2</t>
  </si>
  <si>
    <t xml:space="preserve">User accounts are provisioned through a formal workflow; access is granted based on job role and requires supervisor approval; PHI access is activated only after privacy training completion.</t>
  </si>
  <si>
    <t xml:space="preserve">New user provisioning workflow: HR initiates in Workday → supervisor approves role → IAM provisions access → Privacy training must be completed before PHI access is activated (enforced via LMS-to-IAM integration).</t>
  </si>
  <si>
    <t xml:space="preserve">PHIPA s.12 requires that agents (staff) be informed of privacy obligations before accessing PHI. The LMS-to-IAM integration ensures no PHI access is possible until training is complete.</t>
  </si>
  <si>
    <t xml:space="preserve">No action required. Test LMS-to-IAM integration quarterly to ensure PHI access block is functioning.</t>
  </si>
  <si>
    <t xml:space="preserve">Director, IAM / Chief People Officer</t>
  </si>
  <si>
    <t xml:space="preserve">PHIPA s.12</t>
  </si>
  <si>
    <t xml:space="preserve">WP-CC6-002</t>
  </si>
  <si>
    <t xml:space="preserve">CS-CC6.3</t>
  </si>
  <si>
    <t xml:space="preserve">CC6.3</t>
  </si>
  <si>
    <t xml:space="preserve">MFA is enforced for all access to the EHR platform and all administrative access to AWS infrastructure; no exceptions are permitted.</t>
  </si>
  <si>
    <t xml:space="preserve">MFA enforced via Okta for all user access to EHR web portal (TOTP or FIDO2). AWS IAM enforces MFA for all console and CLI access via SCP at the organization level. No MFA exceptions are permitted in IAM policy.</t>
  </si>
  <si>
    <t xml:space="preserve">Healthcare credentials are high-value targets | compromised EHR credentials provide access to PHI for millions of patients. PHIPA s.12 requires safeguards proportionate to sensitivity; MFA is considered minimum standard for PHI systems.</t>
  </si>
  <si>
    <t xml:space="preserve">Evaluate FIDO2 hardware key rollout for privileged admin accounts | phishing-resistant MFA is recommended by CCCS for healthcare systems.</t>
  </si>
  <si>
    <t xml:space="preserve">CISO / Director, IAM</t>
  </si>
  <si>
    <t xml:space="preserve">PHIPA s.12; CCCS ITSM.10.093 recommendation</t>
  </si>
  <si>
    <t xml:space="preserve">WP-CC6-003</t>
  </si>
  <si>
    <t xml:space="preserve">CS-CC6.6</t>
  </si>
  <si>
    <t xml:space="preserve">CC6.6</t>
  </si>
  <si>
    <t xml:space="preserve">PHI access is revoked when no longer required; automated deprovisioning is triggered upon HR termination; access reviews are conducted every 6 months.</t>
  </si>
  <si>
    <t xml:space="preserve">Workday HR integration triggers automatic account disable within 4 hours of termination event. Semi-annual access review conducted by Privacy Officer in partnership with clinical institution administrators.</t>
  </si>
  <si>
    <t xml:space="preserve">Failure to revoke PHI access after termination is a reportable PHIPA breach in Ontario. The Ontario IPC has fined covered entities for lingering access post-termination.</t>
  </si>
  <si>
    <t xml:space="preserve">Automated deprovisioning works for CareSync direct employees (confirmed, tested). However, 47 hospital clients manage their own user provisioning for clinical staff | CareSync relies on client administrators to deprovision accounts. Last semi-annual review identified 8 accounts belonging to former clinical staff at 3 client institutions that had not been deprovisioned by the client administrators.</t>
  </si>
  <si>
    <t xml:space="preserve">CareSync does not have direct control over client-managed clinical user accounts. The client institution agreements require deprovisioning within 24 hours of termination but this is not enforced contractually through automated controls.</t>
  </si>
  <si>
    <t xml:space="preserve">Add contractual clause to client agreements requiring automated deprovisioning or notification to CareSync within 4 hours of staff termination. Implement automated account age reporting: any account not logged in for 30 days triggers a notification to the client administrator. Short-term: disable the 8 identified former-staff accounts immediately after client confirmation.</t>
  </si>
  <si>
    <t xml:space="preserve">Privacy Officer / VP Legal</t>
  </si>
  <si>
    <t xml:space="preserve">PHIPA s.12; Ontario IPC Investigation HC-000089-2023</t>
  </si>
  <si>
    <t xml:space="preserve">WP-CC6-004</t>
  </si>
  <si>
    <t xml:space="preserve">CS-CC6.7</t>
  </si>
  <si>
    <t xml:space="preserve">CC6.7</t>
  </si>
  <si>
    <t xml:space="preserve">PHI data transfers are encrypted and restricted to approved channels; DLP controls prevent unauthorized PHI exfiltration.</t>
  </si>
  <si>
    <t xml:space="preserve">PHI transmissions encrypted via TLS 1.3. AWS Macie monitors S3 buckets for PHI pattern exposure. Email DLP (Microsoft Purview) blocks PHI in outbound email. USB device use is prohibited on all CareSync workstations via Intune policy.</t>
  </si>
  <si>
    <t xml:space="preserve">PHIPA s.10 restricts PHI disclosure to specified purposes. Unauthorized PHI transmission | even accidental | constitutes a PHIPA breach requiring notification to the IPC and affected individuals.</t>
  </si>
  <si>
    <t xml:space="preserve">AWS Macie PHI detection is configured for common Canadian PHI patterns (HIN, OHIP number, SIN) but does not detect free-text PHI in clinical notes stored as JSON in S3 (the most common format for EHR data in the CareSync architecture). Purview DLP covers email but not Microsoft Teams messages | clinical staff use Teams for case discussions.</t>
  </si>
  <si>
    <t xml:space="preserve">Macie pattern library was configured at initial AWS deployment in 2023 using standard AWS PHI templates. JSON-format clinical notes were not a recognized data type at that time. Teams PHI DLP was not included in the original DLP scope.</t>
  </si>
  <si>
    <t xml:space="preserve">Extend Macie to detect PHI in JSON-format clinical notes | implement custom classifier using AWS Comprehend Medical. Add Microsoft Teams to Purview DLP policy scope. Test detection rates before go-live.</t>
  </si>
  <si>
    <t xml:space="preserve">CISO / Director, Cloud Security</t>
  </si>
  <si>
    <t xml:space="preserve">2026-08-31</t>
  </si>
  <si>
    <t xml:space="preserve">PHIPA s.10,12; AWS Macie documentation</t>
  </si>
  <si>
    <t xml:space="preserve">WP-CC6-005</t>
  </si>
  <si>
    <t xml:space="preserve">CS-CC7.1</t>
  </si>
  <si>
    <t xml:space="preserve">CC7.1</t>
  </si>
  <si>
    <t xml:space="preserve">Continuous monitoring detects anomalies, including unauthorized PHI access, failed authentication, and configuration changes in the EHR environment.</t>
  </si>
  <si>
    <t xml:space="preserve">Splunk SIEM ingests CloudTrail, VPC Flow Logs, EHR application logs, and Okta authentication logs. Automated alerts configured for: PHI bulk download (&gt;100 records in 10 min), failed MFA (&gt;5 per account per hour), privilege escalation, and CloudTrail log tampering.</t>
  </si>
  <si>
    <t xml:space="preserve">PHIPA s.12(2) requires covered entities to have processes to detect inappropriate PHI access. Ontario Health contract requires security event detection within 15 minutes for Critical events.</t>
  </si>
  <si>
    <t xml:space="preserve">PHI bulk download alerting is configured but the threshold (100 records in 10 minutes) was set without clinical workflow analysis. Several legitimate clinical workflows (e.g., ward round preparation, discharge summary batch processing) regularly trigger false positives. SOC team mutes alerts for known clinical workflows | but the muting is manual and undocumented, creating a risk that a genuine bulk exfiltration attempt would be muted as a false positive.</t>
  </si>
  <si>
    <t xml:space="preserve">Alert threshold calibration was not completed after initial deployment. Clinical workflow patterns were not shared with the SOC team during implementation, resulting in initial alert tuning being purely technical rather than clinically informed.</t>
  </si>
  <si>
    <t xml:space="preserve">Conduct clinical workflow analysis with 3 representative hospital clients to document legitimate bulk access patterns. Recalibrate PHI bulk download alert thresholds using clinical context. Document all alert muting decisions with rationale, expiry date, and Privacy Officer acknowledgement.</t>
  </si>
  <si>
    <t xml:space="preserve">SOC Manager / Privacy Officer</t>
  </si>
  <si>
    <t xml:space="preserve">2026-07-15</t>
  </si>
  <si>
    <t xml:space="preserve">PHIPA s.12(2); Ontario Health SLA Schedule D</t>
  </si>
  <si>
    <t xml:space="preserve">WP-CC7-001</t>
  </si>
  <si>
    <t xml:space="preserve">CS-CC7.2</t>
  </si>
  <si>
    <t xml:space="preserve">CC7.2</t>
  </si>
  <si>
    <t xml:space="preserve">Security events are triaged, classified as potential incidents or false positives, and escalated according to a documented procedure.</t>
  </si>
  <si>
    <t xml:space="preserve">SOC incident classification matrix: P1 (PHI breach suspected), P2 (system availability impact), P3 (policy violation), P4 (false positive). P1 events trigger PHIPA breach assessment protocol within 15 minutes.</t>
  </si>
  <si>
    <t xml:space="preserve">PHIPA s.12(2) and anticipated PHIPA amendments (Bill 60 review) require rapid breach identification. Ontario Health SLA requires CareSync to notify Ontario Health of suspected PHI breaches within 2 hours of detection.</t>
  </si>
  <si>
    <t xml:space="preserve">No action required. Test P1 escalation protocol quarterly via tabletop exercise. Include Ontario Health notification workflow in next tabletop.</t>
  </si>
  <si>
    <t xml:space="preserve">SOC Manager</t>
  </si>
  <si>
    <t xml:space="preserve">PHIPA s.12(2); Ontario Health Contract Schedule D</t>
  </si>
  <si>
    <t xml:space="preserve">WP-CC7-002</t>
  </si>
  <si>
    <t xml:space="preserve">CS-CC7.4</t>
  </si>
  <si>
    <t xml:space="preserve">CC7.4</t>
  </si>
  <si>
    <t xml:space="preserve">Incidents involving PHI are contained, investigated, and reported to relevant parties (IPC, Ontario Health, affected individuals) within required timelines.</t>
  </si>
  <si>
    <t xml:space="preserve">PHIPA Breach Response Procedure v3.1 documents: initial containment, breach risk assessment (using Ontario IPC risk assessment tool), notification timelines (IPC: within 30 days of determination; affected individuals: as soon as reasonably possible), and PHIPA mandatory breach report template.</t>
  </si>
  <si>
    <t xml:space="preserve">PHIPA ss.12(2), 13, 14 create a mandatory breach notification framework. Non-reporting is an offence under PHIPA s.72 (fines up to $500,000 for organizations). CareSync's obligations as an agent of covered entities are explicitly addressed in its BAAs with hospital clients.</t>
  </si>
  <si>
    <t xml:space="preserve">Breach Response Procedure v3.1 is current and PHIPA-aligned. However, the procedure has not been tested in a simulated exercise in 18 months. The last tabletop (November 2024) identified a gap in the notification workflow for multi-jurisdiction breaches (where a patient's PHI is shared between an Ontario hospital and an Alberta clinic) | this gap remains unaddressed in the current procedure version.</t>
  </si>
  <si>
    <t xml:space="preserve">Multi-jurisdiction breach notification scenario was identified in the November 2024 tabletop but the procedure update was deprioritized due to staffing changes in the Privacy team.</t>
  </si>
  <si>
    <t xml:space="preserve">Update Breach Response Procedure to address multi-jurisdiction PHI breach scenarios (PHIPA + PIPA notification). Conduct tabletop exercise by September 2026. Include Ontario Health, IPC notification workflow, and multi-jurisdiction scenario.</t>
  </si>
  <si>
    <t xml:space="preserve">PHIPA ss.12,13,14; PIPA ss.34 to 37; Alberta OIPC</t>
  </si>
  <si>
    <t xml:space="preserve">WP-CC7-003</t>
  </si>
  <si>
    <t xml:space="preserve">CS-CC8.1</t>
  </si>
  <si>
    <t xml:space="preserve">CC8.1</t>
  </si>
  <si>
    <t xml:space="preserve">All changes to EHR system components follow a formal change management process including security and privacy impact assessment, testing in staging, and rollback planning.</t>
  </si>
  <si>
    <t xml:space="preserve">Change Advisory Board (CAB) reviews all significant changes. Security impact assessed by CISO designate. Privacy impact assessed by Privacy Officer for changes touching PHI data flows. Staging environment is a full replica of production with de-identified data.</t>
  </si>
  <si>
    <t xml:space="preserve">EHR system changes that inadvertently expose PHI or alter access controls are a significant PHIPA risk. Ontario Health contract requires change notification 72 hours in advance for changes affecting PHI processing.</t>
  </si>
  <si>
    <t xml:space="preserve">CAB process is well-defined for planned changes. However, a privacy impact assessment (PIA) step is optional rather than mandatory for EHR changes | it is triggered only when the CISO designate flags a change as 'PHI-relevant'. Review of 6 recent changes found 2 where PHI data flows were modified without a privacy impact assessment being conducted (the CISO designate assessed them as infrastructure changes).</t>
  </si>
  <si>
    <t xml:space="preserve">Privacy impact assessment trigger relies on the CISO designate's judgment rather than a checklist-based classification. Two infrastructure changes involved database schema changes that affected how PHI query results were filtered | not identified as PHI-relevant by the CISO designate.</t>
  </si>
  <si>
    <t xml:space="preserve">Add mandatory privacy impact classification checklist to CAB change request template. Any change touching: database schema, API endpoints, authentication, logging, or data export must trigger a mandatory PIA review. Train CISO designates on PHI relevance classification.</t>
  </si>
  <si>
    <t xml:space="preserve">PHIPA s.12; Ontario Health Contract; AICPA TSC CC8.1</t>
  </si>
  <si>
    <t xml:space="preserve">WP-CC8-001</t>
  </si>
  <si>
    <t xml:space="preserve">CS-CC9.1</t>
  </si>
  <si>
    <t xml:space="preserve">CC9.1</t>
  </si>
  <si>
    <t xml:space="preserve">Business continuity and disaster recovery plans are documented, tested annually, and meet healthcare-specific RTO/RPO requirements under Ontario Health SLA.</t>
  </si>
  <si>
    <t xml:space="preserve">BCP and DRP documented. RTO: 4 hours for EHR access restoration; RPO: 15 minutes (AWS RDS Multi-AZ with 15-minute point-in-time recovery). Annual DR test conducted in March 2026.</t>
  </si>
  <si>
    <t xml:space="preserve">Ontario Health SLA requires 99.9% uptime for EHR access. A 4-hour RTO and 15-minute RPO are the minimum acceptable for a hospital-connected EHR. PHIPA s.13 requires that PHI remain accessible to authorized users when needed for care.</t>
  </si>
  <si>
    <t xml:space="preserve">No action required. Next DR test scheduled March 2027. Document test results and retain for 3 years per Ontario Health contract.</t>
  </si>
  <si>
    <t xml:space="preserve">VP Engineering / CISO</t>
  </si>
  <si>
    <t xml:space="preserve">PHIPA s.13; Ontario Health SLA Schedule B</t>
  </si>
  <si>
    <t xml:space="preserve">WP-CC9-001</t>
  </si>
  <si>
    <t xml:space="preserve">CS-CC9.2</t>
  </si>
  <si>
    <t xml:space="preserve">CC9.2</t>
  </si>
  <si>
    <t xml:space="preserve">Third-party vendors with access to PHI are assessed for security and privacy compliance before onboarding; BAAs are executed with all PHI-handling vendors.</t>
  </si>
  <si>
    <t xml:space="preserve">Vendor risk assessment required before onboarding any vendor accessing PHI. Business Associate Agreements (BAAs) / Data Processing Agreements executed with all PHI-handling vendors. Quarterly vendor compliance dashboard maintained.</t>
  </si>
  <si>
    <t xml:space="preserve">PHIPA s.17 requires covered entities (and their agents) to ensure third parties handling PHI are bound by equivalent privacy protections. An agent (CareSync) can be held liable for a third party's breach of PHI if a BAA was not in place.</t>
  </si>
  <si>
    <t xml:space="preserve">BAA register maintained and current for 14 of 16 PHI-handling vendors. 2 vendors do not have current BAAs: (1) MedTranscribe Inc. (medical transcription service) | BAA expired March 31, 2026, renewal requested but not received; (2) ClinicalAI Corp. | new vendor added to production in April 2026 without completing the vendor risk assessment or executing a BAA (added by the Engineering team as a 'pilot').</t>
  </si>
  <si>
    <t xml:space="preserve">MedTranscribe renewal delay mirrors TPSP AOC issue seen in other healthcare engagements. ClinicalAI Corp. represents a more serious gap | PHI was shared with a vendor that had not completed the required assessment and had no BAA in place.</t>
  </si>
  <si>
    <t xml:space="preserve">Immediate: suspend PHI sharing with ClinicalAI Corp until BAA is executed and risk assessment completed. Request emergency BAA renewal from MedTranscribe | if not received by June 7, suspend PHI transmission. Add BAA expiry tracking to vendor dashboard with 90-day renewal trigger.</t>
  </si>
  <si>
    <t xml:space="preserve">2026-06-07</t>
  </si>
  <si>
    <t xml:space="preserve">PHIPA s.17; PIPEDA Principle 1; Ontario IPC Guidance</t>
  </si>
  <si>
    <t xml:space="preserve">WP-CC9-002</t>
  </si>
  <si>
    <t xml:space="preserve">CS-A1.1</t>
  </si>
  <si>
    <t xml:space="preserve">A1.1</t>
  </si>
  <si>
    <t xml:space="preserve">Current processing capacity and usage are monitored; capacity planning is conducted to ensure system availability meets Ontario Health SLA commitments.</t>
  </si>
  <si>
    <t xml:space="preserve">AWS CloudWatch monitors CPU, memory, RDS connections, and API response times. Auto-scaling configured for EHR application tier. Capacity review conducted quarterly by Infrastructure team.</t>
  </si>
  <si>
    <t xml:space="preserve">Ontario Health SLA requires 99.9% monthly uptime. A capacity failure during clinical operations could delay patient care | PHIPA s.13 requires PHI to remain accessible when needed.</t>
  </si>
  <si>
    <t xml:space="preserve">No action required. Conduct load test annually simulating peak hospital usage (flu season | November).</t>
  </si>
  <si>
    <t xml:space="preserve">VP Engineering</t>
  </si>
  <si>
    <t xml:space="preserve">Ontario Health SLA Schedule B; PHIPA s.13</t>
  </si>
  <si>
    <t xml:space="preserve">WP-A1-001</t>
  </si>
  <si>
    <t xml:space="preserve">CS-A1.2</t>
  </si>
  <si>
    <t xml:space="preserve">A1.2</t>
  </si>
  <si>
    <t xml:space="preserve">Environmental protections, backup processes, and recovery infrastructure are designed to meet the RTO and RPO committed to hospital clients.</t>
  </si>
  <si>
    <t xml:space="preserve">AWS RDS Multi-AZ with automated daily snapshots and 15-minute point-in-time recovery. Cross-region replication to AWS ca-west-1 for DR. Backup integrity tested quarterly via restore-to-test environment.</t>
  </si>
  <si>
    <t xml:space="preserve">Preventive and Corrective</t>
  </si>
  <si>
    <t xml:space="preserve">PHI backup integrity is critical | a corrupted backup during a ransomware event could result in permanent PHI loss, a serious PHIPA breach requiring IPC notification.</t>
  </si>
  <si>
    <t xml:space="preserve">Backup restore testing conducted quarterly | passed in all 4 tested quarters. However, restore test uses a generic dataset | not a full de-identified clone of the production EHR schema. In March 2026, the quarterly restore test missed a schema change introduced in February that caused a compatibility issue between the restored backup and the current application version. This was discovered during DR test preparation, not during the quarterly restore test.</t>
  </si>
  <si>
    <t xml:space="preserve">Restore test procedure does not include an application compatibility check after restore. Schema changes are tracked in a separate changelog that is not cross-referenced during restore testing.</t>
  </si>
  <si>
    <t xml:space="preserve">Update restore test procedure to include: (1) application compatibility check using current application version against restored backup, (2) cross-reference with schema changelog for changes since last backup. Test this updated procedure by June 30.</t>
  </si>
  <si>
    <t xml:space="preserve">PHIPA s.12; Ontario Health SLA Schedule B</t>
  </si>
  <si>
    <t xml:space="preserve">WP-A1-002</t>
  </si>
  <si>
    <t xml:space="preserve">CS-A1.3</t>
  </si>
  <si>
    <t xml:space="preserve">A1.3</t>
  </si>
  <si>
    <t xml:space="preserve">Recovery procedures are tested at least annually; test results are documented and shared with relevant hospital clients per contractual obligations.</t>
  </si>
  <si>
    <t xml:space="preserve">Annual DR test conducted March 2026. RTO achieved in 3h 42min (within 4-hour SLA). RPO validated at 12 minutes. Test report shared with Ontario Health per contract. Debrief conducted with 5 representative hospital clients.</t>
  </si>
  <si>
    <t xml:space="preserve">Ontario Health contract requires annual DR test report submission within 30 days of test completion. Hospital clients need confidence in recovery capabilities given PHI availability obligations under PHIPA.</t>
  </si>
  <si>
    <t xml:space="preserve">No action required. Include schema compatibility issue (identified in CS-A1.2) in next DR test scope.</t>
  </si>
  <si>
    <t xml:space="preserve">Ontario Health Contract Schedule B; PHIPA s.13</t>
  </si>
  <si>
    <t xml:space="preserve">WP-A1-003</t>
  </si>
  <si>
    <t xml:space="preserve">CS-C1.1</t>
  </si>
  <si>
    <t xml:space="preserve">C1.1</t>
  </si>
  <si>
    <t xml:space="preserve">PHI and other confidential information is classified; access is restricted to the minimum necessary; encryption protects data at rest and in transit.</t>
  </si>
  <si>
    <t xml:space="preserve">Data classification policy: PHI (Restricted), Identifiable Patient Data (Confidential), De-identified Data (Internal), Public. PHI encrypted at rest (AES-256, AWS KMS with FIPS 140-2 validated HSM). All PHI in transit encrypted via TLS 1.3.</t>
  </si>
  <si>
    <t xml:space="preserve">PHIPA s.10 restricts PHI use to identified purposes. Encryption of PHI is an expected safeguard under PHIPA s.12 and is explicitly required by Ontario Health contract.</t>
  </si>
  <si>
    <t xml:space="preserve">No action required. Annual encryption key rotation confirmed on schedule. FIPS 140-2 validation current.</t>
  </si>
  <si>
    <t xml:space="preserve">PHIPA ss.10,12; Ontario Health Contract; FIPS 140-2</t>
  </si>
  <si>
    <t xml:space="preserve">WP-C1-001</t>
  </si>
  <si>
    <t xml:space="preserve">CS-C1.2</t>
  </si>
  <si>
    <t xml:space="preserve">C1.2</t>
  </si>
  <si>
    <t xml:space="preserve">PHI retention schedules are documented; PHI is disposed of securely at end of retention period; disposal is documented.</t>
  </si>
  <si>
    <t xml:space="preserve">PHI retention policy: active patient records retained for 10 years post-last-encounter (Ontario Regulation 114/94); pediatric records to age 25. Automated S3 lifecycle policy implements retention rules. Secure deletion via AWS cryptographic erasure for cloud storage; Certificate of Destruction for physical media.</t>
  </si>
  <si>
    <t xml:space="preserve">Ontario Regulation 114/94 mandates PHI retention periods for hospitals. PHIPA s.14 requires secure destruction. CareSync's clients rely on CareSync to implement and enforce retention schedules on their behalf.</t>
  </si>
  <si>
    <t xml:space="preserve">Retention policy and S3 lifecycle rules are correctly configured for Ontario requirements. However, 4 of 47 client institutions have specific provincial requirements beyond Ontario's (3 Alberta clinics under PIPA; 1 BC clinic under PIPA BC) | retention rules for these institutions are applied using Ontario defaults, which may not match provincial requirements.</t>
  </si>
  <si>
    <t xml:space="preserve">Multi-provincial retention rules were not implemented at system launch because the initial client base was Ontario-only. Alberta and BC clients were added in 2025 without a retention rule review.</t>
  </si>
  <si>
    <t xml:space="preserve">Conduct retention rule review for all non-Ontario clients. Implement province-specific retention configurations in S3 lifecycle policy for Alberta (PIPA) and BC (PIPA BC) clients. Complete by August 2026.</t>
  </si>
  <si>
    <t xml:space="preserve">PHIPA s.14; Alberta PIPA s.37; BC PIPA s.35; ON Reg 114/94</t>
  </si>
  <si>
    <t xml:space="preserve">WP-C1-002</t>
  </si>
  <si>
    <t xml:space="preserve">CS-P1.1</t>
  </si>
  <si>
    <t xml:space="preserve">P1.1</t>
  </si>
  <si>
    <t xml:space="preserve">A current and accessible privacy notice describes how CareSync collects, uses, and discloses PHI on behalf of its covered entity clients.</t>
  </si>
  <si>
    <t xml:space="preserve">Privacy notice published at caresync.ca/privacy. Notice addresses: data types collected, purposes, disclosure to third parties, retention periods, and individual rights. Reviewed and updated February 2026.</t>
  </si>
  <si>
    <t xml:space="preserve">PHIPA s.12 and PIPEDA Principle 8 require transparency about privacy practices. Ontario Health contract requires CareSync's privacy notice to specifically address its role as an agent of covered entities.</t>
  </si>
  <si>
    <t xml:space="preserve">No action required. Update privacy notice when PIPA Alberta amendments take effect. Monitor Bill C-27 (CPPA) progress for any changes to privacy notice requirements.</t>
  </si>
  <si>
    <t xml:space="preserve">PHIPA s.12; PIPEDA Principle 8; Ontario Health Contract</t>
  </si>
  <si>
    <t xml:space="preserve">WP-P1-001</t>
  </si>
  <si>
    <t xml:space="preserve">CS-P2.1</t>
  </si>
  <si>
    <t xml:space="preserve">P2.1</t>
  </si>
  <si>
    <t xml:space="preserve">PHI is collected only for identified purposes; purpose limitation is documented and enforced; secondary use of PHI requires separate consent.</t>
  </si>
  <si>
    <t xml:space="preserve">PHI collection purposes documented in BAAs with each covered entity client. Secondary use policy prohibits CareSync from using PHI for any purpose beyond care delivery and system operations. AI/ML model training explicitly excluded from permitted uses.</t>
  </si>
  <si>
    <t xml:space="preserve">PHIPA s.29 limits PHI collection to identified purposes. Using PHI for AI model training without separate consent is an increasingly scrutinized issue | Ontario IPC issued guidance in 2025 specifically addressing health data AI use.</t>
  </si>
  <si>
    <t xml:space="preserve">Purpose limitation policy is documented and AI/ML training exclusion is explicit. However, in April 2026, the ClinicalAI Corp pilot (identified in CS-CC9.2) involved sharing de-identified PHI with the vendor for model training. The de-identification method used (pseudonymization with a retained key) does not meet Ontario IPC's de-identification standard | meaning this was functionally a PHI disclosure for AI training without consent.</t>
  </si>
  <si>
    <t xml:space="preserve">The ClinicalAI Corp situation represents a potential PHIPA breach: PHI (under IPC's de-identification standard) was disclosed to a third party for a purpose (AI model training) not covered by the BAA or patient consent. This finding requires immediate escalation to the Privacy Officer and legal counsel.</t>
  </si>
  <si>
    <t xml:space="preserve">Immediate: notify Privacy Officer and legal counsel. Conduct PHIPA breach risk assessment for the ClinicalAI Corp PHI disclosure. If risk of harm is identified, notify Ontario IPC and affected individuals per PHIPA breach notification requirements. Suspend all PHI sharing with ClinicalAI Corp. Review de-identification standards against Ontario IPC guidance.</t>
  </si>
  <si>
    <t xml:space="preserve">Privacy Officer / CEO / Legal</t>
  </si>
  <si>
    <t xml:space="preserve">2026-06-01</t>
  </si>
  <si>
    <t xml:space="preserve">PHIPA ss.29,44; Ontario IPC AI and Health Data Guidance (2025)</t>
  </si>
  <si>
    <t xml:space="preserve">WP-P2-001</t>
  </si>
  <si>
    <t xml:space="preserve">CS-P3.1</t>
  </si>
  <si>
    <t xml:space="preserve">P3.1</t>
  </si>
  <si>
    <t xml:space="preserve">Patient consent for PHI use is captured, stored, and honoured; consent withdrawal mechanisms exist; consent records are auditable.</t>
  </si>
  <si>
    <t xml:space="preserve">Patient consent captured at point of care by covered entity clients. CareSync stores consent status flags in the EHR consent module. Consent withdrawal processing documented: clinical staff update consent flag → EHR enforces access restriction immediately.</t>
  </si>
  <si>
    <t xml:space="preserve">PHIPA s.18 governs consent for PHI use and disclosure. Failure to honour a patient's consent withdrawal can constitute an unauthorized disclosure | a PHIPA offence.</t>
  </si>
  <si>
    <t xml:space="preserve">Consent status flags are stored and honoured in the EHR system. However, consent records lack a complete audit trail | the system records the current consent status but does not maintain a history of consent changes (who changed it, when, and from what previous state). Ontario IPC requires covered entities to be able to demonstrate the history of consent decisions.</t>
  </si>
  <si>
    <t xml:space="preserve">Consent audit trail was not included in the original EHR consent module design | the module was built to enforce current consent status but not to maintain historical records. This is a known limitation identified in the initial architecture design document but not remediated.</t>
  </si>
  <si>
    <t xml:space="preserve">Implement consent change audit trail in EHR consent module: log user ID, timestamp, previous state, new state, and reason for each consent change. Retain audit trail for duration of patient record retention period. Prioritize for next sprint.</t>
  </si>
  <si>
    <t xml:space="preserve">VP Engineering / Privacy Officer</t>
  </si>
  <si>
    <t xml:space="preserve">PHIPA s.18; Ontario IPC Consent Guidance</t>
  </si>
  <si>
    <t xml:space="preserve">WP-P3-001</t>
  </si>
  <si>
    <t xml:space="preserve">CS-P4.1</t>
  </si>
  <si>
    <t xml:space="preserve">P4.1</t>
  </si>
  <si>
    <t xml:space="preserve">PHI is not used for secondary purposes (research, marketing, AI training) without appropriate consent or legal authority; secondary use requests are reviewed by Privacy Officer.</t>
  </si>
  <si>
    <t xml:space="preserve">Secondary use policy prohibits use of PHI for any purpose beyond primary care delivery without Privacy Officer review and appropriate legal authority (consent, research ethics approval, or PHIPA exception).</t>
  </si>
  <si>
    <t xml:space="preserve">PHIPA s.44 governs PHI use for research. Using PHI for AI training or commercial secondary purposes without consent is a high-profile regulatory concern in Canadian healthcare.</t>
  </si>
  <si>
    <t xml:space="preserve">Secondary use policy is documented and reviewed. However, the ClinicalAI Corp pilot (CS-P2.1) circumvented the secondary use review process entirely | Engineering initiated the pilot without Privacy Officer involvement. The policy does not include an automated gate or approval workflow to enforce review before PHI sharing with new vendors.</t>
  </si>
  <si>
    <t xml:space="preserve">Secondary use review relies on Engineering teams self-identifying PHI-relevant activities and escalating to the Privacy Officer. No system-level control enforces this | it is a purely policy-based control.</t>
  </si>
  <si>
    <t xml:space="preserve">Implement mandatory Privacy Officer review workflow in the vendor onboarding process. Any new vendor receiving PHI or de-identified PHI must complete Privacy Officer sign-off before data sharing commences. Implement in Jira vendor onboarding workflow.</t>
  </si>
  <si>
    <t xml:space="preserve">Privacy Officer / VP Engineering</t>
  </si>
  <si>
    <t xml:space="preserve">PHIPA ss.29,44; Ontario IPC</t>
  </si>
  <si>
    <t xml:space="preserve">WP-P4-001</t>
  </si>
  <si>
    <t xml:space="preserve">CS-P6.1</t>
  </si>
  <si>
    <t xml:space="preserve">P6.1</t>
  </si>
  <si>
    <t xml:space="preserve">PHI access logs are maintained and available for audit by authorized parties; patients have the right to access logs of who accessed their PHI upon request.</t>
  </si>
  <si>
    <t xml:space="preserve">PHI access logs maintained in CloudTrail and Splunk. Patient access log reports can be generated by Privacy Officer upon patient request. Log retention: 7 years per Ontario Regulation 114/94.</t>
  </si>
  <si>
    <t xml:space="preserve">PHIPA s.54 gives patients the right to know who has accessed their PHI. This is one of the most exercised patient rights | Ontario IPC receives thousands of access log requests annually.</t>
  </si>
  <si>
    <t xml:space="preserve">PHI access logs are complete for CareSync system-level access. However, access by covered entity clinical staff (the most common access type) is logged at the system level but the log format requires manual parsing to produce a patient-readable access report. Currently, generating a patient access log report takes the Privacy Officer approximately 4 hours per patient request. With a growing patient base, this is becoming operationally unsustainable.</t>
  </si>
  <si>
    <t xml:space="preserve">Access log reporting was not designed as a patient-facing function. The log format prioritizes security forensics (technical fields) over patient readability (plain-language descriptions of who accessed what and when).</t>
  </si>
  <si>
    <t xml:space="preserve">Develop an automated patient access log report generator: input patient ID, output plain-language report of access events with date, accessing user role, and institution. Target: report generation time under 15 minutes. Prioritize for next major release.</t>
  </si>
  <si>
    <t xml:space="preserve">PHIPA s.54; Ontario IPC</t>
  </si>
  <si>
    <t xml:space="preserve">WP-P6-001</t>
  </si>
  <si>
    <t xml:space="preserve">CS-P8.1</t>
  </si>
  <si>
    <t xml:space="preserve">P8.1</t>
  </si>
  <si>
    <t xml:space="preserve">A patient privacy complaints process exists; complaints are tracked, investigated, and resolved; patterns are reported to management.</t>
  </si>
  <si>
    <t xml:space="preserve">Patient privacy complaints received via caresync.ca/privacy-contact and forwarded to Privacy Officer. Complaints tracked in Salesforce. Monthly complaints report to CISO and Privacy Officer. IPC complaint escalation pathway documented.</t>
  </si>
  <si>
    <t xml:space="preserve">PHIPA s.56 allows patients to complain to the IPC. CareSync as an agent of covered entities must cooperate with IPC investigations. A documented complaints process demonstrates accountability.</t>
  </si>
  <si>
    <t xml:space="preserve">Complaints tracking in Salesforce is current (12 complaints in 2026 YTD; 9 resolved, 3 under investigation). However, complaint root cause analysis is not conducted systematically | complaints are resolved individually without analysis for systemic patterns. Two of the 3 open complaints relate to clinical staff accessing patient records outside their unit (curiosity access) | a potential systemic RBAC gap not identified until this audit.</t>
  </si>
  <si>
    <t xml:space="preserve">Individual complaint resolution is well-managed but systemic pattern analysis has not been operationalized. Privacy Officer reviews individual complaints but does not have a formal root cause categorization process.</t>
  </si>
  <si>
    <t xml:space="preserve">Implement complaint root cause categorization in Salesforce (e.g., access control, consent, disclosure, retention). Generate monthly pattern analysis report for CISO and Privacy Officer. Escalate any pattern affecting 3+ complaints to CEO and Board Audit Committee.</t>
  </si>
  <si>
    <t xml:space="preserve">PHIPA s.56; Ontario IPC complaint process</t>
  </si>
  <si>
    <t xml:space="preserve">WP-P8-001</t>
  </si>
  <si>
    <t xml:space="preserve">SOC 2 Type I | Exception Log | CareSync Technologies Inc. | May 2026</t>
  </si>
  <si>
    <t xml:space="preserve">Exception ID</t>
  </si>
  <si>
    <t xml:space="preserve">Exception Description</t>
  </si>
  <si>
    <t xml:space="preserve">PHIPA/Regulatory Risk</t>
  </si>
  <si>
    <t xml:space="preserve">Immediate Action Required</t>
  </si>
  <si>
    <t xml:space="preserve">Owner</t>
  </si>
  <si>
    <t xml:space="preserve">Status</t>
  </si>
  <si>
    <t xml:space="preserve">Evidence of Remediation</t>
  </si>
  <si>
    <t xml:space="preserve">EX-001</t>
  </si>
  <si>
    <t xml:space="preserve">P</t>
  </si>
  <si>
    <t xml:space="preserve">PHI shared with ClinicalAI Corp for AI model training without BAA, without Privacy Officer approval, and using a pseudonymization method that does not meet Ontario IPC de-identification standard. Constitutes a potential PHIPA breach.</t>
  </si>
  <si>
    <t xml:space="preserve">PHIPA ss.29,44 | PHI disclosed for unauthorized purpose without consent; potential breach requiring IPC notification if risk of harm exists</t>
  </si>
  <si>
    <t xml:space="preserve">1. Notify Privacy Officer and legal counsel immediately.
2. Conduct PHIPA breach risk assessment within 48 hours.
3. Suspend all PHI data sharing with ClinicalAI Corp.
4. If RROSH identified, notify Ontario IPC within 30 days of determination.</t>
  </si>
  <si>
    <t xml:space="preserve">Open</t>
  </si>
  <si>
    <t xml:space="preserve">Breach risk assessment report; IPC notification (if applicable); PHI sharing suspension confirmation</t>
  </si>
  <si>
    <t xml:space="preserve">EX-002</t>
  </si>
  <si>
    <t xml:space="preserve">CC</t>
  </si>
  <si>
    <t xml:space="preserve">ClinicalAI Corp (new vendor) added to production in April 2026 without completing vendor risk assessment or executing a BAA. PHI was transmitted to this vendor.</t>
  </si>
  <si>
    <t xml:space="preserve">PHIPA s.17 | agent must ensure third parties handling PHI are bound by equivalent protections; no BAA = unprotected PHI with unassessed vendor</t>
  </si>
  <si>
    <t xml:space="preserve">1. Suspend PHI sharing with ClinicalAI Corp immediately.
2. Complete vendor risk assessment within 10 business days.
3. Execute BAA before any PHI sharing resumes.
4. Add mandatory Privacy Officer approval to vendor onboarding workflow.</t>
  </si>
  <si>
    <t xml:space="preserve">PHI sharing suspension confirmation; completed vendor risk assessment; executed BAA</t>
  </si>
  <si>
    <t xml:space="preserve">EX-003</t>
  </si>
  <si>
    <t xml:space="preserve">No dedicated insider threat monitoring program for PHI access. Approved UEBA budget not actioned. Two open patient complaints relate to curiosity access | possible systemic RBAC gap.</t>
  </si>
  <si>
    <t xml:space="preserve">PHIPA s.12(2) | must detect inappropriate PHI access; curiosity access (celebrity/family records) is most common Ontario PHIPA breach type</t>
  </si>
  <si>
    <t xml:space="preserve">1. Implement manual weekly PHI access log review for anomalous patterns immediately (interim).
2. Initiate UEBA tool procurement by June 30.
3. Investigate 2 open complaints for systemic RBAC issue.</t>
  </si>
  <si>
    <t xml:space="preserve">Manual review SOP; UEBA procurement RFP; complaint investigation report</t>
  </si>
  <si>
    <t xml:space="preserve">EX-004</t>
  </si>
  <si>
    <t xml:space="preserve">8 former clinical staff accounts at 3 client institutions not deprovisioned. CareSync has no automated control over client-managed accounts | relies on client administrators.</t>
  </si>
  <si>
    <t xml:space="preserve">PHIPA s.12 | lingering PHI access post-termination is a reportable breach. Ontario IPC has investigated similar cases (HC-000089-2023)</t>
  </si>
  <si>
    <t xml:space="preserve">1. Disable 8 identified accounts after confirming with client administrators.
2. Add contractual deprovisioning requirement (automated or 4-hour notification) to all client agreements at next renewal.
3. Implement 30-day inactivity alert to client administrators.</t>
  </si>
  <si>
    <t xml:space="preserve">Account disable confirmations; updated contract clauses; inactivity alert configuration</t>
  </si>
  <si>
    <t xml:space="preserve">EX-005</t>
  </si>
  <si>
    <t xml:space="preserve">3 covered entity clients have 'super user' accounts with unrestricted PHI access | outside standard RBAC model. No PHIPA justification documented.</t>
  </si>
  <si>
    <t xml:space="preserve">PHIPA s.29 | access must be limited to minimum necessary. Unjustified unrestricted PHI access violates need-to-know principle</t>
  </si>
  <si>
    <t xml:space="preserve">1. Request written PHIPA justification from each of the 3 institutions within 30 days.
2. If not provided, restrict to most permissive standard clinical role.
3. Add super user justification requirement to standard implementation checklist.</t>
  </si>
  <si>
    <t xml:space="preserve">Justification documents from institutions; or access restriction confirmation</t>
  </si>
  <si>
    <t xml:space="preserve">EX-006</t>
  </si>
  <si>
    <t xml:space="preserve">PHI bulk download alert threshold (100 records/10 min) generates false positives for legitimate clinical workflows. SOC team manually mutes alerts without documentation | genuine exfiltration could be muted as false positive.</t>
  </si>
  <si>
    <t xml:space="preserve">PHIPA s.12(2) | detection of inappropriate PHI access could be impaired if alert muting masks a genuine bulk exfiltration event</t>
  </si>
  <si>
    <t xml:space="preserve">1. Halt all undocumented alert muting immediately.
2. Conduct clinical workflow analysis with 3 hospital clients.
3. Recalibrate alert thresholds with Privacy Officer sign-off.
4. Document all future alert muting with rationale and expiry.</t>
  </si>
  <si>
    <t xml:space="preserve">Clinical workflow analysis report; updated alert thresholds; documented muting policy</t>
  </si>
  <si>
    <t xml:space="preserve">EX-007</t>
  </si>
  <si>
    <t xml:space="preserve">MedTranscribe Inc. BAA expired March 31, 2026. PHI continues to be transmitted to this vendor without a current BAA.</t>
  </si>
  <si>
    <t xml:space="preserve">PHIPA s.17 | BAA is required for all PHI-handling third parties; operating without a current BAA exposes CareSync and its clients to liability</t>
  </si>
  <si>
    <t xml:space="preserve">1. Request emergency BAA renewal from MedTranscribe immediately.
2. If BAA not received by June 7, suspend PHI transmission.
3. Update BAA register with 90-day expiry alert.</t>
  </si>
  <si>
    <t xml:space="preserve">Renewed BAA; or PHI transmission suspension confirmation; updated BAA register</t>
  </si>
  <si>
    <t xml:space="preserve">EX-008</t>
  </si>
  <si>
    <t xml:space="preserve">Consent audit trail not maintained | EHR consent module records current status but no history of changes (who changed consent, when, from what state).</t>
  </si>
  <si>
    <t xml:space="preserve">PHIPA s.18; Ontario IPC Consent Guidance | covered entities must demonstrate history of consent decisions; inability to audit consent changes is a compliance gap</t>
  </si>
  <si>
    <t xml:space="preserve">1. Implement consent change audit trail in EHR consent module.
2. Log: user ID, timestamp, previous state, new state, reason.
3. Retain for duration of patient record retention period.</t>
  </si>
  <si>
    <t xml:space="preserve">Consent audit trail technical specification; implemented feature; test evidence</t>
  </si>
  <si>
    <t xml:space="preserve">EX-009</t>
  </si>
  <si>
    <t xml:space="preserve">No formal deficiency tracking register. Two deficiencies from Q4 2025 quarterly review (PHI audit log gap and consent record gap) were not tracked and remain unresolved 6 months later.</t>
  </si>
  <si>
    <t xml:space="preserve">AICPA TSC CC4.2; PHIPA s.12 | unresolved privacy control deficiencies may constitute ongoing compliance failures</t>
  </si>
  <si>
    <t xml:space="preserve">1. Implement deficiency register in Jira immediately.
2. Back-populate with all unresolved deficiencies from last 12 months.
3. Assign owners and target dates to Q4 2025 deficiencies.</t>
  </si>
  <si>
    <t xml:space="preserve">Jira deficiency register screenshot; back-populated entries; owner confirmations</t>
  </si>
  <si>
    <t xml:space="preserve">EX-010</t>
  </si>
  <si>
    <t xml:space="preserve">ClinicalAI Corp pilot circumvented mandatory secondary use review | Engineering initiated PHI sharing without Privacy Officer approval. No system-level gate enforces review.</t>
  </si>
  <si>
    <t xml:space="preserve">PHIPA ss.29,44 | secondary use of PHI requires Privacy Officer review and appropriate legal authority; policy-only control was bypassed</t>
  </si>
  <si>
    <t xml:space="preserve">1. Implement Privacy Officer approval step in Jira vendor onboarding workflow.
2. Block PHI sharing with any new vendor without Privacy Officer sign-off.
3. Review all vendor additions in last 12 months for missed Privacy Officer reviews.</t>
  </si>
  <si>
    <t xml:space="preserve">Updated Jira workflow; Privacy Officer approval records; retrospective vendor review report</t>
  </si>
  <si>
    <t xml:space="preserve">EX-011</t>
  </si>
  <si>
    <t xml:space="preserve">4 support team workstations running Windows 10 21H2 (EOL June 2023 | 3 years out of support). Direct EHR access from these workstations creates exploit risk.</t>
  </si>
  <si>
    <t xml:space="preserve">PHIPA s.12; CCCS 2025 Cyber Threat Assessment | EOL OS on healthcare workstations is a documented ransomware entry vector</t>
  </si>
  <si>
    <t xml:space="preserve">1. Isolate 4 EOL workstations from direct EHR network access via VLAN policy immediately.
2. Expedite workstation refresh | target June 30, 2026.
3. Document as compensating control pending refresh.</t>
  </si>
  <si>
    <t xml:space="preserve">VLAN isolation change record; new workstation delivery confirmation; compensating control documentation</t>
  </si>
  <si>
    <t xml:space="preserve">EX-012</t>
  </si>
  <si>
    <t xml:space="preserve">C</t>
  </si>
  <si>
    <t xml:space="preserve">Alberta (PIPA) and BC (PIPA BC) client retention rules applied using Ontario defaults | may not comply with provincial requirements for 4 out-of-province clients.</t>
  </si>
  <si>
    <t xml:space="preserve">Alberta PIPA s.37; BC PIPA s.35 | retention and destruction requirements differ from Ontario's. Non-compliance could trigger complaints to Alberta OIPC or BC OIPC</t>
  </si>
  <si>
    <t xml:space="preserve">1. Conduct retention rule review for all non-Ontario clients.
2. Implement province-specific lifecycle rules in S3 for Alberta and BC clients.
3. Consult Alberta OIPC and BC OIPC guidance on retention requirements.</t>
  </si>
  <si>
    <t xml:space="preserve">Retention rule review document; updated S3 lifecycle configurations; OIPC guidance reviewed</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</si>
</sst>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9"/>
      <color rgb="FF9DBDD4"/>
      <name val="Calibri"/>
      <family val="0"/>
      <charset val="1"/>
    </font>
    <font>
      <b val="true"/>
      <sz val="9"/>
      <color rgb="FF0A1628"/>
      <name val="Calibri"/>
      <family val="0"/>
      <charset val="1"/>
    </font>
    <font>
      <sz val="9"/>
      <color rgb="FF0A1628"/>
      <name val="Calibri"/>
      <family val="0"/>
      <charset val="1"/>
    </font>
    <font>
      <b val="true"/>
      <sz val="9"/>
      <color rgb="FFFFFFFF"/>
      <name val="Calibri"/>
      <family val="0"/>
      <charset val="1"/>
    </font>
    <font>
      <b val="true"/>
      <sz val="8"/>
      <color rgb="FFFFFFFF"/>
      <name val="Calibri"/>
      <family val="0"/>
      <charset val="1"/>
    </font>
    <font>
      <b val="true"/>
      <sz val="13"/>
      <color rgb="FF2E7D32"/>
      <name val="Calibri"/>
      <family val="0"/>
      <charset val="1"/>
    </font>
    <font>
      <b val="true"/>
      <sz val="12"/>
      <color rgb="FFFFFFFF"/>
      <name val="Calibri"/>
      <family val="0"/>
      <charset val="1"/>
    </font>
    <font>
      <i val="true"/>
      <sz val="8"/>
      <color rgb="FF9DBDD4"/>
      <name val="Calibri"/>
      <family val="0"/>
      <charset val="1"/>
    </font>
  </fonts>
  <fills count="18">
    <fill>
      <patternFill patternType="none"/>
    </fill>
    <fill>
      <patternFill patternType="gray125"/>
    </fill>
    <fill>
      <patternFill patternType="solid">
        <fgColor rgb="FF0D3349"/>
        <bgColor rgb="FF333333"/>
      </patternFill>
    </fill>
    <fill>
      <patternFill patternType="solid">
        <fgColor rgb="FF1A4A6B"/>
        <bgColor rgb="FF235C82"/>
      </patternFill>
    </fill>
    <fill>
      <patternFill patternType="solid">
        <fgColor rgb="FFE2ECF4"/>
        <bgColor rgb="FFF0F0F0"/>
      </patternFill>
    </fill>
    <fill>
      <patternFill patternType="solid">
        <fgColor rgb="FFFFFFFF"/>
        <bgColor rgb="FFFFF8E1"/>
      </patternFill>
    </fill>
    <fill>
      <patternFill patternType="solid">
        <fgColor rgb="FFF0F5FA"/>
        <bgColor rgb="FFF0F0F0"/>
      </patternFill>
    </fill>
    <fill>
      <patternFill patternType="solid">
        <fgColor rgb="FF235C82"/>
        <bgColor rgb="FF1A4A6B"/>
      </patternFill>
    </fill>
    <fill>
      <patternFill patternType="solid">
        <fgColor rgb="FFE8F5E9"/>
        <bgColor rgb="FFF0F0F0"/>
      </patternFill>
    </fill>
    <fill>
      <patternFill patternType="solid">
        <fgColor rgb="FFF0F0F0"/>
        <bgColor rgb="FFF0F5FA"/>
      </patternFill>
    </fill>
    <fill>
      <patternFill patternType="solid">
        <fgColor rgb="FFFEF3CD"/>
        <bgColor rgb="FFFFF3CD"/>
      </patternFill>
    </fill>
    <fill>
      <patternFill patternType="solid">
        <fgColor rgb="FFFFFF88"/>
        <bgColor rgb="FFFFF3CD"/>
      </patternFill>
    </fill>
    <fill>
      <patternFill patternType="solid">
        <fgColor rgb="FFFFBB33"/>
        <bgColor rgb="FFFF9900"/>
      </patternFill>
    </fill>
    <fill>
      <patternFill patternType="solid">
        <fgColor rgb="FFFDECEC"/>
        <bgColor rgb="FFF0F0F0"/>
      </patternFill>
    </fill>
    <fill>
      <patternFill patternType="solid">
        <fgColor rgb="FFFF4444"/>
        <bgColor rgb="FFFF8080"/>
      </patternFill>
    </fill>
    <fill>
      <patternFill patternType="solid">
        <fgColor rgb="FFFFE0E0"/>
        <bgColor rgb="FFFDECEC"/>
      </patternFill>
    </fill>
    <fill>
      <patternFill patternType="solid">
        <fgColor rgb="FFFFF3CD"/>
        <bgColor rgb="FFFEF3CD"/>
      </patternFill>
    </fill>
    <fill>
      <patternFill patternType="solid">
        <fgColor rgb="FFFFF8E1"/>
        <bgColor rgb="FFFFF3CD"/>
      </patternFill>
    </fill>
  </fills>
  <borders count="3">
    <border diagonalUp="false" diagonalDown="false">
      <left/>
      <right/>
      <top/>
      <bottom/>
      <diagonal/>
    </border>
    <border diagonalUp="false" diagonalDown="false">
      <left style="thin">
        <color rgb="FFB0C4D8"/>
      </left>
      <right style="thin">
        <color rgb="FFB0C4D8"/>
      </right>
      <top style="thin">
        <color rgb="FFB0C4D8"/>
      </top>
      <bottom style="thin">
        <color rgb="FFB0C4D8"/>
      </bottom>
      <diagonal/>
    </border>
    <border diagonalUp="false" diagonalDown="false">
      <left style="thin">
        <color rgb="FFB0C4D8"/>
      </left>
      <right/>
      <top style="thin">
        <color rgb="FFB0C4D8"/>
      </top>
      <bottom style="thin">
        <color rgb="FFB0C4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5" fontId="10" fillId="8" borderId="1"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center" textRotation="0" wrapText="true" indent="0" shrinkToFit="false"/>
      <protection locked="true" hidden="false"/>
    </xf>
    <xf numFmtId="164" fontId="7" fillId="15" borderId="1" xfId="0" applyFont="true" applyBorder="true" applyAlignment="true" applyProtection="false">
      <alignment horizontal="left" vertical="center" textRotation="0" wrapText="true" indent="0" shrinkToFit="false"/>
      <protection locked="true" hidden="false"/>
    </xf>
    <xf numFmtId="164" fontId="6" fillId="16" borderId="1" xfId="0" applyFont="true" applyBorder="true" applyAlignment="true" applyProtection="false">
      <alignment horizontal="left" vertical="center" textRotation="0" wrapText="true" indent="0" shrinkToFit="false"/>
      <protection locked="true" hidden="false"/>
    </xf>
    <xf numFmtId="164" fontId="7" fillId="16" borderId="1" xfId="0" applyFont="true" applyBorder="true" applyAlignment="true" applyProtection="false">
      <alignment horizontal="left" vertical="center" textRotation="0" wrapText="true" indent="0" shrinkToFit="false"/>
      <protection locked="true" hidden="false"/>
    </xf>
    <xf numFmtId="164" fontId="6" fillId="17" borderId="1" xfId="0" applyFont="true" applyBorder="true" applyAlignment="true" applyProtection="false">
      <alignment horizontal="left" vertical="center" textRotation="0" wrapText="true" indent="0" shrinkToFit="false"/>
      <protection locked="true" hidden="false"/>
    </xf>
    <xf numFmtId="164" fontId="7" fillId="1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3CD"/>
      <rgbColor rgb="FFFF00FF"/>
      <rgbColor rgb="FF00FFFF"/>
      <rgbColor rgb="FF800000"/>
      <rgbColor rgb="FF008000"/>
      <rgbColor rgb="FF000080"/>
      <rgbColor rgb="FF808000"/>
      <rgbColor rgb="FF800080"/>
      <rgbColor rgb="FF008080"/>
      <rgbColor rgb="FFB0C4D8"/>
      <rgbColor rgb="FF808080"/>
      <rgbColor rgb="FF9999FF"/>
      <rgbColor rgb="FF993366"/>
      <rgbColor rgb="FFFFF8E1"/>
      <rgbColor rgb="FFE8F5E9"/>
      <rgbColor rgb="FF660066"/>
      <rgbColor rgb="FFFF8080"/>
      <rgbColor rgb="FF235C82"/>
      <rgbColor rgb="FFFDECEC"/>
      <rgbColor rgb="FF000080"/>
      <rgbColor rgb="FFFF00FF"/>
      <rgbColor rgb="FFFEF3CD"/>
      <rgbColor rgb="FF00FFFF"/>
      <rgbColor rgb="FF800080"/>
      <rgbColor rgb="FF800000"/>
      <rgbColor rgb="FF008080"/>
      <rgbColor rgb="FF0000FF"/>
      <rgbColor rgb="FF00CCFF"/>
      <rgbColor rgb="FFE2ECF4"/>
      <rgbColor rgb="FFF0F0F0"/>
      <rgbColor rgb="FFFFFF88"/>
      <rgbColor rgb="FF9DBDD4"/>
      <rgbColor rgb="FFF0F5FA"/>
      <rgbColor rgb="FFCC99FF"/>
      <rgbColor rgb="FFFFE0E0"/>
      <rgbColor rgb="FF3366FF"/>
      <rgbColor rgb="FF33CCCC"/>
      <rgbColor rgb="FF99CC00"/>
      <rgbColor rgb="FFFFBB33"/>
      <rgbColor rgb="FFFF9900"/>
      <rgbColor rgb="FFFF4444"/>
      <rgbColor rgb="FF666699"/>
      <rgbColor rgb="FF969696"/>
      <rgbColor rgb="FF0D3349"/>
      <rgbColor rgb="FF2E7D32"/>
      <rgbColor rgb="FF0A1628"/>
      <rgbColor rgb="FF333300"/>
      <rgbColor rgb="FF993300"/>
      <rgbColor rgb="FF993366"/>
      <rgbColor rgb="FF1A4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3" min="3" style="1" width="18"/>
    <col collapsed="false" customWidth="true" hidden="false" outlineLevel="0" max="4" min="4" style="1" width="16"/>
  </cols>
  <sheetData>
    <row r="1" customFormat="false" ht="36" hidden="false" customHeight="true" outlineLevel="0" collapsed="false">
      <c r="A1" s="2" t="s">
        <v>0</v>
      </c>
      <c r="B1" s="2"/>
      <c r="C1" s="2"/>
      <c r="D1" s="2"/>
    </row>
    <row r="2" customFormat="false" ht="18" hidden="false" customHeight="true" outlineLevel="0" collapsed="false">
      <c r="A2" s="3" t="s">
        <v>1</v>
      </c>
      <c r="B2" s="3"/>
      <c r="C2" s="3"/>
      <c r="D2" s="3"/>
    </row>
    <row r="4" customFormat="false" ht="21.75" hidden="false" customHeight="true" outlineLevel="0" collapsed="false">
      <c r="A4" s="4" t="s">
        <v>2</v>
      </c>
      <c r="B4" s="5" t="s">
        <v>3</v>
      </c>
      <c r="C4" s="5"/>
      <c r="D4" s="5"/>
    </row>
    <row r="5" customFormat="false" ht="21.75" hidden="false" customHeight="true" outlineLevel="0" collapsed="false">
      <c r="A5" s="4" t="s">
        <v>4</v>
      </c>
      <c r="B5" s="5" t="s">
        <v>5</v>
      </c>
      <c r="C5" s="5"/>
      <c r="D5" s="5"/>
    </row>
    <row r="6" customFormat="false" ht="21.75" hidden="false" customHeight="true" outlineLevel="0" collapsed="false">
      <c r="A6" s="4" t="s">
        <v>6</v>
      </c>
      <c r="B6" s="5" t="s">
        <v>7</v>
      </c>
      <c r="C6" s="5"/>
      <c r="D6" s="5"/>
    </row>
    <row r="7" customFormat="false" ht="21.75" hidden="false" customHeight="true" outlineLevel="0" collapsed="false">
      <c r="A7" s="4" t="s">
        <v>8</v>
      </c>
      <c r="B7" s="5" t="s">
        <v>9</v>
      </c>
      <c r="C7" s="5"/>
      <c r="D7" s="5"/>
    </row>
    <row r="8" customFormat="false" ht="21.75" hidden="false" customHeight="true" outlineLevel="0" collapsed="false">
      <c r="A8" s="4" t="s">
        <v>10</v>
      </c>
      <c r="B8" s="5" t="s">
        <v>11</v>
      </c>
      <c r="C8" s="5"/>
      <c r="D8" s="5"/>
    </row>
    <row r="9" customFormat="false" ht="21.75" hidden="false" customHeight="true" outlineLevel="0" collapsed="false">
      <c r="A9" s="4" t="s">
        <v>12</v>
      </c>
      <c r="B9" s="5" t="s">
        <v>13</v>
      </c>
      <c r="C9" s="5"/>
      <c r="D9" s="5"/>
    </row>
    <row r="10" customFormat="false" ht="21.75" hidden="false" customHeight="true" outlineLevel="0" collapsed="false">
      <c r="A10" s="4" t="s">
        <v>14</v>
      </c>
      <c r="B10" s="5" t="s">
        <v>15</v>
      </c>
      <c r="C10" s="5"/>
      <c r="D10" s="5"/>
    </row>
    <row r="11" customFormat="false" ht="21.75" hidden="false" customHeight="true" outlineLevel="0" collapsed="false">
      <c r="A11" s="4" t="s">
        <v>16</v>
      </c>
      <c r="B11" s="5" t="s">
        <v>17</v>
      </c>
      <c r="C11" s="5"/>
      <c r="D11" s="5"/>
    </row>
    <row r="12" customFormat="false" ht="21.75" hidden="false" customHeight="true" outlineLevel="0" collapsed="false">
      <c r="A12" s="4" t="s">
        <v>18</v>
      </c>
      <c r="B12" s="5" t="s">
        <v>19</v>
      </c>
      <c r="C12" s="5"/>
      <c r="D12" s="5"/>
    </row>
    <row r="13" customFormat="false" ht="21.75" hidden="false" customHeight="true" outlineLevel="0" collapsed="false">
      <c r="A13" s="4" t="s">
        <v>20</v>
      </c>
      <c r="B13" s="5" t="s">
        <v>21</v>
      </c>
      <c r="C13" s="5"/>
      <c r="D13" s="5"/>
    </row>
    <row r="14" customFormat="false" ht="21.75" hidden="false" customHeight="true" outlineLevel="0" collapsed="false">
      <c r="A14" s="4" t="s">
        <v>22</v>
      </c>
      <c r="B14" s="5" t="s">
        <v>23</v>
      </c>
      <c r="C14" s="5"/>
      <c r="D14" s="5"/>
    </row>
    <row r="15" customFormat="false" ht="21.75" hidden="false" customHeight="true" outlineLevel="0" collapsed="false">
      <c r="A15" s="4" t="s">
        <v>24</v>
      </c>
      <c r="B15" s="5" t="s">
        <v>25</v>
      </c>
      <c r="C15" s="5"/>
      <c r="D15" s="5"/>
    </row>
    <row r="17" customFormat="false" ht="21.75" hidden="false" customHeight="true" outlineLevel="0" collapsed="false">
      <c r="A17" s="6" t="s">
        <v>26</v>
      </c>
      <c r="B17" s="6"/>
      <c r="C17" s="6"/>
      <c r="D17" s="6"/>
    </row>
    <row r="18" customFormat="false" ht="21.75" hidden="false" customHeight="true" outlineLevel="0" collapsed="false">
      <c r="A18" s="7" t="s">
        <v>27</v>
      </c>
      <c r="B18" s="7" t="s">
        <v>28</v>
      </c>
      <c r="C18" s="7" t="s">
        <v>29</v>
      </c>
      <c r="D18" s="7" t="s">
        <v>30</v>
      </c>
    </row>
    <row r="19" customFormat="false" ht="24" hidden="false" customHeight="true" outlineLevel="0" collapsed="false">
      <c r="A19" s="8" t="s">
        <v>31</v>
      </c>
      <c r="B19" s="9" t="s">
        <v>32</v>
      </c>
      <c r="C19" s="9" t="s">
        <v>33</v>
      </c>
      <c r="D19" s="9" t="s">
        <v>34</v>
      </c>
    </row>
    <row r="20" customFormat="false" ht="24" hidden="false" customHeight="true" outlineLevel="0" collapsed="false">
      <c r="A20" s="10" t="s">
        <v>35</v>
      </c>
      <c r="B20" s="11" t="s">
        <v>36</v>
      </c>
      <c r="C20" s="11" t="s">
        <v>37</v>
      </c>
      <c r="D20" s="11" t="s">
        <v>38</v>
      </c>
    </row>
    <row r="21" customFormat="false" ht="24" hidden="false" customHeight="true" outlineLevel="0" collapsed="false">
      <c r="A21" s="8" t="s">
        <v>39</v>
      </c>
      <c r="B21" s="9" t="s">
        <v>40</v>
      </c>
      <c r="C21" s="9" t="s">
        <v>41</v>
      </c>
      <c r="D21" s="9" t="s">
        <v>38</v>
      </c>
    </row>
    <row r="22" customFormat="false" ht="24" hidden="false" customHeight="true" outlineLevel="0" collapsed="false">
      <c r="A22" s="10" t="s">
        <v>42</v>
      </c>
      <c r="B22" s="11" t="s">
        <v>43</v>
      </c>
      <c r="C22" s="11" t="s">
        <v>44</v>
      </c>
      <c r="D22" s="11" t="s">
        <v>38</v>
      </c>
    </row>
    <row r="24" customFormat="false" ht="21.75" hidden="false" customHeight="true" outlineLevel="0" collapsed="false">
      <c r="A24" s="6" t="s">
        <v>45</v>
      </c>
      <c r="B24" s="6"/>
      <c r="C24" s="6"/>
      <c r="D24" s="6"/>
    </row>
    <row r="25" customFormat="false" ht="21.75" hidden="false" customHeight="true" outlineLevel="0" collapsed="false">
      <c r="A25" s="7" t="s">
        <v>46</v>
      </c>
      <c r="B25" s="7" t="s">
        <v>47</v>
      </c>
      <c r="C25" s="7" t="s">
        <v>48</v>
      </c>
      <c r="D25" s="7" t="s">
        <v>49</v>
      </c>
    </row>
    <row r="26" customFormat="false" ht="19.5" hidden="false" customHeight="true" outlineLevel="0" collapsed="false">
      <c r="A26" s="8" t="s">
        <v>50</v>
      </c>
      <c r="B26" s="12" t="n">
        <v>9</v>
      </c>
      <c r="C26" s="12" t="n">
        <v>7</v>
      </c>
      <c r="D26" s="12" t="n">
        <v>3</v>
      </c>
    </row>
    <row r="27" customFormat="false" ht="19.5" hidden="false" customHeight="true" outlineLevel="0" collapsed="false">
      <c r="A27" s="10" t="s">
        <v>35</v>
      </c>
      <c r="B27" s="13" t="n">
        <v>1</v>
      </c>
      <c r="C27" s="13" t="n">
        <v>2</v>
      </c>
      <c r="D27" s="13" t="n">
        <v>0</v>
      </c>
    </row>
    <row r="28" customFormat="false" ht="19.5" hidden="false" customHeight="true" outlineLevel="0" collapsed="false">
      <c r="A28" s="8" t="s">
        <v>39</v>
      </c>
      <c r="B28" s="12" t="n">
        <v>1</v>
      </c>
      <c r="C28" s="12" t="n">
        <v>1</v>
      </c>
      <c r="D28" s="12" t="n">
        <v>0</v>
      </c>
    </row>
    <row r="29" customFormat="false" ht="19.5" hidden="false" customHeight="true" outlineLevel="0" collapsed="false">
      <c r="A29" s="10" t="s">
        <v>42</v>
      </c>
      <c r="B29" s="13" t="n">
        <v>2</v>
      </c>
      <c r="C29" s="13" t="n">
        <v>5</v>
      </c>
      <c r="D29" s="13" t="n">
        <v>1</v>
      </c>
    </row>
    <row r="30" customFormat="false" ht="24" hidden="false" customHeight="true" outlineLevel="0" collapsed="false">
      <c r="A30" s="14" t="s">
        <v>51</v>
      </c>
      <c r="B30" s="14" t="n">
        <f aca="false">SUM(B26:B29)</f>
        <v>13</v>
      </c>
      <c r="C30" s="14" t="n">
        <f aca="false">SUM(C26:C29)</f>
        <v>15</v>
      </c>
      <c r="D30" s="14" t="n">
        <f aca="false">SUM(D26:D29)</f>
        <v>4</v>
      </c>
    </row>
    <row r="32" customFormat="false" ht="21.75" hidden="false" customHeight="true" outlineLevel="0" collapsed="false">
      <c r="A32" s="4" t="s">
        <v>52</v>
      </c>
      <c r="B32" s="15" t="n">
        <f aca="false">B30/(B30+C30+D30)</f>
        <v>0.40625</v>
      </c>
    </row>
  </sheetData>
  <mergeCells count="16">
    <mergeCell ref="A1:D1"/>
    <mergeCell ref="A2:D2"/>
    <mergeCell ref="B4:D4"/>
    <mergeCell ref="B5:D5"/>
    <mergeCell ref="B6:D6"/>
    <mergeCell ref="B7:D7"/>
    <mergeCell ref="B8:D8"/>
    <mergeCell ref="B9:D9"/>
    <mergeCell ref="B10:D10"/>
    <mergeCell ref="B11:D11"/>
    <mergeCell ref="B12:D12"/>
    <mergeCell ref="B13:D13"/>
    <mergeCell ref="B14:D14"/>
    <mergeCell ref="B15:D15"/>
    <mergeCell ref="A17:D17"/>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4" min="3" style="1" width="34"/>
    <col collapsed="false" customWidth="true" hidden="false" outlineLevel="0" max="5" min="5" style="1" width="16"/>
    <col collapsed="false" customWidth="true" hidden="false" outlineLevel="0" max="6" min="6" style="1" width="30"/>
    <col collapsed="false" customWidth="true" hidden="false" outlineLevel="0" max="7" min="7" style="1" width="18"/>
    <col collapsed="false" customWidth="true" hidden="false" outlineLevel="0" max="8" min="8" style="1" width="32"/>
    <col collapsed="false" customWidth="true" hidden="false" outlineLevel="0" max="9" min="9" style="1" width="12"/>
    <col collapsed="false" customWidth="true" hidden="false" outlineLevel="0" max="10" min="10" style="1" width="28"/>
    <col collapsed="false" customWidth="true" hidden="false" outlineLevel="0" max="11" min="11" style="1" width="32"/>
    <col collapsed="false" customWidth="true" hidden="false" outlineLevel="0" max="12" min="12" style="1" width="20"/>
    <col collapsed="false" customWidth="true" hidden="false" outlineLevel="0" max="13" min="13" style="1" width="13"/>
    <col collapsed="false" customWidth="true" hidden="false" outlineLevel="0" max="14" min="14" style="1" width="22"/>
    <col collapsed="false" customWidth="true" hidden="false" outlineLevel="0" max="15" min="15" style="1" width="12"/>
  </cols>
  <sheetData>
    <row r="1" customFormat="false" ht="30" hidden="false" customHeight="true" outlineLevel="0" collapsed="false">
      <c r="A1" s="16" t="s">
        <v>53</v>
      </c>
      <c r="B1" s="16"/>
      <c r="C1" s="16"/>
      <c r="D1" s="16"/>
      <c r="E1" s="16"/>
      <c r="F1" s="16"/>
      <c r="G1" s="16"/>
      <c r="H1" s="16"/>
      <c r="I1" s="16"/>
      <c r="J1" s="16"/>
      <c r="K1" s="16"/>
      <c r="L1" s="16"/>
      <c r="M1" s="16"/>
      <c r="N1" s="16"/>
      <c r="O1" s="16"/>
    </row>
    <row r="2" customFormat="false" ht="15.75" hidden="false" customHeight="true" outlineLevel="0" collapsed="false">
      <c r="A2" s="17" t="s">
        <v>54</v>
      </c>
      <c r="B2" s="17"/>
      <c r="C2" s="17"/>
      <c r="D2" s="17"/>
      <c r="E2" s="17"/>
      <c r="F2" s="17"/>
      <c r="G2" s="17"/>
      <c r="H2" s="17"/>
      <c r="I2" s="17"/>
      <c r="J2" s="17"/>
      <c r="K2" s="17"/>
      <c r="L2" s="17"/>
      <c r="M2" s="17"/>
      <c r="N2" s="17"/>
      <c r="O2" s="17"/>
    </row>
    <row r="3" customFormat="false" ht="27.75" hidden="false" customHeight="true" outlineLevel="0" collapsed="false">
      <c r="A3" s="18" t="s">
        <v>55</v>
      </c>
      <c r="B3" s="18" t="s">
        <v>56</v>
      </c>
      <c r="C3" s="18" t="s">
        <v>57</v>
      </c>
      <c r="D3" s="18" t="s">
        <v>58</v>
      </c>
      <c r="E3" s="18" t="s">
        <v>59</v>
      </c>
      <c r="F3" s="18" t="s">
        <v>60</v>
      </c>
      <c r="G3" s="18" t="s">
        <v>61</v>
      </c>
      <c r="H3" s="18" t="s">
        <v>62</v>
      </c>
      <c r="I3" s="18" t="s">
        <v>63</v>
      </c>
      <c r="J3" s="18" t="s">
        <v>64</v>
      </c>
      <c r="K3" s="18" t="s">
        <v>65</v>
      </c>
      <c r="L3" s="18" t="s">
        <v>66</v>
      </c>
      <c r="M3" s="18" t="s">
        <v>67</v>
      </c>
      <c r="N3" s="18" t="s">
        <v>68</v>
      </c>
      <c r="O3" s="18" t="s">
        <v>69</v>
      </c>
    </row>
    <row r="4" customFormat="false" ht="21.75" hidden="false" customHeight="true" outlineLevel="0" collapsed="false">
      <c r="A4" s="19" t="s">
        <v>31</v>
      </c>
      <c r="B4" s="19"/>
      <c r="C4" s="19"/>
      <c r="D4" s="19"/>
      <c r="E4" s="19"/>
      <c r="F4" s="19"/>
      <c r="G4" s="19"/>
      <c r="H4" s="19"/>
      <c r="I4" s="19"/>
      <c r="J4" s="19"/>
      <c r="K4" s="19"/>
      <c r="L4" s="19"/>
      <c r="M4" s="19"/>
      <c r="N4" s="19"/>
      <c r="O4" s="19"/>
    </row>
    <row r="5" customFormat="false" ht="51.75" hidden="false" customHeight="true" outlineLevel="0" collapsed="false">
      <c r="A5" s="10" t="s">
        <v>70</v>
      </c>
      <c r="B5" s="11" t="s">
        <v>71</v>
      </c>
      <c r="C5" s="11" t="s">
        <v>72</v>
      </c>
      <c r="D5" s="11" t="s">
        <v>73</v>
      </c>
      <c r="E5" s="11" t="s">
        <v>74</v>
      </c>
      <c r="F5" s="11" t="s">
        <v>75</v>
      </c>
      <c r="G5" s="20" t="s">
        <v>76</v>
      </c>
      <c r="H5" s="11" t="s">
        <v>77</v>
      </c>
      <c r="I5" s="21" t="s">
        <v>77</v>
      </c>
      <c r="J5" s="11" t="s">
        <v>77</v>
      </c>
      <c r="K5" s="11" t="s">
        <v>78</v>
      </c>
      <c r="L5" s="11" t="s">
        <v>79</v>
      </c>
      <c r="M5" s="11" t="s">
        <v>77</v>
      </c>
      <c r="N5" s="11" t="s">
        <v>80</v>
      </c>
      <c r="O5" s="11" t="s">
        <v>81</v>
      </c>
    </row>
    <row r="6" customFormat="false" ht="51.75" hidden="false" customHeight="true" outlineLevel="0" collapsed="false">
      <c r="A6" s="8" t="s">
        <v>82</v>
      </c>
      <c r="B6" s="9" t="s">
        <v>83</v>
      </c>
      <c r="C6" s="9" t="s">
        <v>84</v>
      </c>
      <c r="D6" s="9" t="s">
        <v>85</v>
      </c>
      <c r="E6" s="9" t="s">
        <v>74</v>
      </c>
      <c r="F6" s="9" t="s">
        <v>86</v>
      </c>
      <c r="G6" s="22" t="s">
        <v>87</v>
      </c>
      <c r="H6" s="9" t="s">
        <v>88</v>
      </c>
      <c r="I6" s="23" t="s">
        <v>89</v>
      </c>
      <c r="J6" s="9" t="s">
        <v>90</v>
      </c>
      <c r="K6" s="9" t="s">
        <v>91</v>
      </c>
      <c r="L6" s="9" t="s">
        <v>92</v>
      </c>
      <c r="M6" s="9" t="s">
        <v>93</v>
      </c>
      <c r="N6" s="9" t="s">
        <v>94</v>
      </c>
      <c r="O6" s="9" t="s">
        <v>95</v>
      </c>
    </row>
    <row r="7" customFormat="false" ht="51.75" hidden="false" customHeight="true" outlineLevel="0" collapsed="false">
      <c r="A7" s="10" t="s">
        <v>96</v>
      </c>
      <c r="B7" s="11" t="s">
        <v>97</v>
      </c>
      <c r="C7" s="11" t="s">
        <v>98</v>
      </c>
      <c r="D7" s="11" t="s">
        <v>99</v>
      </c>
      <c r="E7" s="11" t="s">
        <v>74</v>
      </c>
      <c r="F7" s="11" t="s">
        <v>100</v>
      </c>
      <c r="G7" s="20" t="s">
        <v>76</v>
      </c>
      <c r="H7" s="11" t="s">
        <v>77</v>
      </c>
      <c r="I7" s="21" t="s">
        <v>77</v>
      </c>
      <c r="J7" s="11" t="s">
        <v>77</v>
      </c>
      <c r="K7" s="11" t="s">
        <v>101</v>
      </c>
      <c r="L7" s="11" t="s">
        <v>102</v>
      </c>
      <c r="M7" s="11" t="s">
        <v>77</v>
      </c>
      <c r="N7" s="11" t="s">
        <v>103</v>
      </c>
      <c r="O7" s="11" t="s">
        <v>104</v>
      </c>
    </row>
    <row r="8" customFormat="false" ht="51.75" hidden="false" customHeight="true" outlineLevel="0" collapsed="false">
      <c r="A8" s="8" t="s">
        <v>105</v>
      </c>
      <c r="B8" s="9" t="s">
        <v>106</v>
      </c>
      <c r="C8" s="9" t="s">
        <v>107</v>
      </c>
      <c r="D8" s="9" t="s">
        <v>108</v>
      </c>
      <c r="E8" s="9" t="s">
        <v>109</v>
      </c>
      <c r="F8" s="9" t="s">
        <v>110</v>
      </c>
      <c r="G8" s="22" t="s">
        <v>87</v>
      </c>
      <c r="H8" s="9" t="s">
        <v>111</v>
      </c>
      <c r="I8" s="23" t="s">
        <v>89</v>
      </c>
      <c r="J8" s="9" t="s">
        <v>112</v>
      </c>
      <c r="K8" s="9" t="s">
        <v>113</v>
      </c>
      <c r="L8" s="9" t="s">
        <v>92</v>
      </c>
      <c r="M8" s="9" t="s">
        <v>114</v>
      </c>
      <c r="N8" s="9" t="s">
        <v>115</v>
      </c>
      <c r="O8" s="9" t="s">
        <v>116</v>
      </c>
    </row>
    <row r="9" customFormat="false" ht="51.75" hidden="false" customHeight="true" outlineLevel="0" collapsed="false">
      <c r="A9" s="10" t="s">
        <v>117</v>
      </c>
      <c r="B9" s="11" t="s">
        <v>118</v>
      </c>
      <c r="C9" s="11" t="s">
        <v>119</v>
      </c>
      <c r="D9" s="11" t="s">
        <v>120</v>
      </c>
      <c r="E9" s="11" t="s">
        <v>74</v>
      </c>
      <c r="F9" s="11" t="s">
        <v>121</v>
      </c>
      <c r="G9" s="20" t="s">
        <v>76</v>
      </c>
      <c r="H9" s="11" t="s">
        <v>77</v>
      </c>
      <c r="I9" s="21" t="s">
        <v>77</v>
      </c>
      <c r="J9" s="11" t="s">
        <v>77</v>
      </c>
      <c r="K9" s="11" t="s">
        <v>122</v>
      </c>
      <c r="L9" s="11" t="s">
        <v>123</v>
      </c>
      <c r="M9" s="11" t="s">
        <v>77</v>
      </c>
      <c r="N9" s="11" t="s">
        <v>124</v>
      </c>
      <c r="O9" s="11" t="s">
        <v>125</v>
      </c>
    </row>
    <row r="10" customFormat="false" ht="51.75" hidden="false" customHeight="true" outlineLevel="0" collapsed="false">
      <c r="A10" s="8" t="s">
        <v>126</v>
      </c>
      <c r="B10" s="9" t="s">
        <v>127</v>
      </c>
      <c r="C10" s="9" t="s">
        <v>128</v>
      </c>
      <c r="D10" s="9" t="s">
        <v>129</v>
      </c>
      <c r="E10" s="9" t="s">
        <v>74</v>
      </c>
      <c r="F10" s="9" t="s">
        <v>130</v>
      </c>
      <c r="G10" s="20" t="s">
        <v>76</v>
      </c>
      <c r="H10" s="9" t="s">
        <v>77</v>
      </c>
      <c r="I10" s="21" t="s">
        <v>77</v>
      </c>
      <c r="J10" s="9" t="s">
        <v>77</v>
      </c>
      <c r="K10" s="9" t="s">
        <v>131</v>
      </c>
      <c r="L10" s="9" t="s">
        <v>132</v>
      </c>
      <c r="M10" s="9" t="s">
        <v>77</v>
      </c>
      <c r="N10" s="9" t="s">
        <v>133</v>
      </c>
      <c r="O10" s="9" t="s">
        <v>134</v>
      </c>
    </row>
    <row r="11" customFormat="false" ht="51.75" hidden="false" customHeight="true" outlineLevel="0" collapsed="false">
      <c r="A11" s="10" t="s">
        <v>135</v>
      </c>
      <c r="B11" s="11" t="s">
        <v>136</v>
      </c>
      <c r="C11" s="11" t="s">
        <v>137</v>
      </c>
      <c r="D11" s="11" t="s">
        <v>138</v>
      </c>
      <c r="E11" s="11" t="s">
        <v>139</v>
      </c>
      <c r="F11" s="11" t="s">
        <v>140</v>
      </c>
      <c r="G11" s="22" t="s">
        <v>87</v>
      </c>
      <c r="H11" s="11" t="s">
        <v>141</v>
      </c>
      <c r="I11" s="24" t="s">
        <v>38</v>
      </c>
      <c r="J11" s="11" t="s">
        <v>142</v>
      </c>
      <c r="K11" s="11" t="s">
        <v>143</v>
      </c>
      <c r="L11" s="11" t="s">
        <v>92</v>
      </c>
      <c r="M11" s="11" t="s">
        <v>144</v>
      </c>
      <c r="N11" s="11" t="s">
        <v>145</v>
      </c>
      <c r="O11" s="11" t="s">
        <v>146</v>
      </c>
    </row>
    <row r="12" customFormat="false" ht="51.75" hidden="false" customHeight="true" outlineLevel="0" collapsed="false">
      <c r="A12" s="8" t="s">
        <v>147</v>
      </c>
      <c r="B12" s="9" t="s">
        <v>148</v>
      </c>
      <c r="C12" s="9" t="s">
        <v>149</v>
      </c>
      <c r="D12" s="9" t="s">
        <v>150</v>
      </c>
      <c r="E12" s="9" t="s">
        <v>109</v>
      </c>
      <c r="F12" s="9" t="s">
        <v>151</v>
      </c>
      <c r="G12" s="22" t="s">
        <v>87</v>
      </c>
      <c r="H12" s="9" t="s">
        <v>152</v>
      </c>
      <c r="I12" s="23" t="s">
        <v>89</v>
      </c>
      <c r="J12" s="9" t="s">
        <v>153</v>
      </c>
      <c r="K12" s="9" t="s">
        <v>154</v>
      </c>
      <c r="L12" s="9" t="s">
        <v>155</v>
      </c>
      <c r="M12" s="9" t="s">
        <v>114</v>
      </c>
      <c r="N12" s="9" t="s">
        <v>156</v>
      </c>
      <c r="O12" s="9" t="s">
        <v>157</v>
      </c>
    </row>
    <row r="13" customFormat="false" ht="51.75" hidden="false" customHeight="true" outlineLevel="0" collapsed="false">
      <c r="A13" s="10" t="s">
        <v>158</v>
      </c>
      <c r="B13" s="11" t="s">
        <v>159</v>
      </c>
      <c r="C13" s="11" t="s">
        <v>160</v>
      </c>
      <c r="D13" s="11" t="s">
        <v>161</v>
      </c>
      <c r="E13" s="11" t="s">
        <v>162</v>
      </c>
      <c r="F13" s="11" t="s">
        <v>163</v>
      </c>
      <c r="G13" s="25" t="s">
        <v>49</v>
      </c>
      <c r="H13" s="11" t="s">
        <v>164</v>
      </c>
      <c r="I13" s="24" t="s">
        <v>38</v>
      </c>
      <c r="J13" s="11" t="s">
        <v>165</v>
      </c>
      <c r="K13" s="11" t="s">
        <v>166</v>
      </c>
      <c r="L13" s="11" t="s">
        <v>155</v>
      </c>
      <c r="M13" s="11" t="s">
        <v>167</v>
      </c>
      <c r="N13" s="11" t="s">
        <v>168</v>
      </c>
      <c r="O13" s="11" t="s">
        <v>169</v>
      </c>
    </row>
    <row r="14" customFormat="false" ht="51.75" hidden="false" customHeight="true" outlineLevel="0" collapsed="false">
      <c r="A14" s="8" t="s">
        <v>170</v>
      </c>
      <c r="B14" s="9" t="s">
        <v>171</v>
      </c>
      <c r="C14" s="9" t="s">
        <v>172</v>
      </c>
      <c r="D14" s="9" t="s">
        <v>173</v>
      </c>
      <c r="E14" s="9" t="s">
        <v>74</v>
      </c>
      <c r="F14" s="9" t="s">
        <v>174</v>
      </c>
      <c r="G14" s="20" t="s">
        <v>76</v>
      </c>
      <c r="H14" s="9" t="s">
        <v>77</v>
      </c>
      <c r="I14" s="21" t="s">
        <v>77</v>
      </c>
      <c r="J14" s="9" t="s">
        <v>77</v>
      </c>
      <c r="K14" s="9" t="s">
        <v>175</v>
      </c>
      <c r="L14" s="9" t="s">
        <v>92</v>
      </c>
      <c r="M14" s="9" t="s">
        <v>77</v>
      </c>
      <c r="N14" s="9" t="s">
        <v>176</v>
      </c>
      <c r="O14" s="9" t="s">
        <v>177</v>
      </c>
    </row>
    <row r="15" customFormat="false" ht="51.75" hidden="false" customHeight="true" outlineLevel="0" collapsed="false">
      <c r="A15" s="10" t="s">
        <v>178</v>
      </c>
      <c r="B15" s="11" t="s">
        <v>179</v>
      </c>
      <c r="C15" s="11" t="s">
        <v>180</v>
      </c>
      <c r="D15" s="11" t="s">
        <v>181</v>
      </c>
      <c r="E15" s="11" t="s">
        <v>139</v>
      </c>
      <c r="F15" s="11" t="s">
        <v>182</v>
      </c>
      <c r="G15" s="22" t="s">
        <v>87</v>
      </c>
      <c r="H15" s="11" t="s">
        <v>183</v>
      </c>
      <c r="I15" s="24" t="s">
        <v>38</v>
      </c>
      <c r="J15" s="11" t="s">
        <v>184</v>
      </c>
      <c r="K15" s="11" t="s">
        <v>185</v>
      </c>
      <c r="L15" s="11" t="s">
        <v>186</v>
      </c>
      <c r="M15" s="11" t="s">
        <v>114</v>
      </c>
      <c r="N15" s="11" t="s">
        <v>187</v>
      </c>
      <c r="O15" s="11" t="s">
        <v>188</v>
      </c>
    </row>
    <row r="16" customFormat="false" ht="51.75" hidden="false" customHeight="true" outlineLevel="0" collapsed="false">
      <c r="A16" s="8" t="s">
        <v>189</v>
      </c>
      <c r="B16" s="9" t="s">
        <v>190</v>
      </c>
      <c r="C16" s="9" t="s">
        <v>191</v>
      </c>
      <c r="D16" s="9" t="s">
        <v>192</v>
      </c>
      <c r="E16" s="9" t="s">
        <v>74</v>
      </c>
      <c r="F16" s="9" t="s">
        <v>193</v>
      </c>
      <c r="G16" s="20" t="s">
        <v>76</v>
      </c>
      <c r="H16" s="9" t="s">
        <v>77</v>
      </c>
      <c r="I16" s="21" t="s">
        <v>77</v>
      </c>
      <c r="J16" s="9" t="s">
        <v>77</v>
      </c>
      <c r="K16" s="9" t="s">
        <v>194</v>
      </c>
      <c r="L16" s="9" t="s">
        <v>195</v>
      </c>
      <c r="M16" s="9" t="s">
        <v>77</v>
      </c>
      <c r="N16" s="9" t="s">
        <v>196</v>
      </c>
      <c r="O16" s="9" t="s">
        <v>197</v>
      </c>
    </row>
    <row r="17" customFormat="false" ht="51.75" hidden="false" customHeight="true" outlineLevel="0" collapsed="false">
      <c r="A17" s="10" t="s">
        <v>198</v>
      </c>
      <c r="B17" s="11" t="s">
        <v>199</v>
      </c>
      <c r="C17" s="11" t="s">
        <v>200</v>
      </c>
      <c r="D17" s="11" t="s">
        <v>201</v>
      </c>
      <c r="E17" s="11" t="s">
        <v>74</v>
      </c>
      <c r="F17" s="11" t="s">
        <v>202</v>
      </c>
      <c r="G17" s="22" t="s">
        <v>87</v>
      </c>
      <c r="H17" s="11" t="s">
        <v>203</v>
      </c>
      <c r="I17" s="24" t="s">
        <v>38</v>
      </c>
      <c r="J17" s="11" t="s">
        <v>204</v>
      </c>
      <c r="K17" s="11" t="s">
        <v>205</v>
      </c>
      <c r="L17" s="11" t="s">
        <v>206</v>
      </c>
      <c r="M17" s="11" t="s">
        <v>167</v>
      </c>
      <c r="N17" s="11" t="s">
        <v>207</v>
      </c>
      <c r="O17" s="11" t="s">
        <v>208</v>
      </c>
    </row>
    <row r="18" customFormat="false" ht="51.75" hidden="false" customHeight="true" outlineLevel="0" collapsed="false">
      <c r="A18" s="8" t="s">
        <v>209</v>
      </c>
      <c r="B18" s="9" t="s">
        <v>210</v>
      </c>
      <c r="C18" s="9" t="s">
        <v>211</v>
      </c>
      <c r="D18" s="9" t="s">
        <v>212</v>
      </c>
      <c r="E18" s="9" t="s">
        <v>74</v>
      </c>
      <c r="F18" s="9" t="s">
        <v>213</v>
      </c>
      <c r="G18" s="20" t="s">
        <v>76</v>
      </c>
      <c r="H18" s="9" t="s">
        <v>77</v>
      </c>
      <c r="I18" s="21" t="s">
        <v>77</v>
      </c>
      <c r="J18" s="9" t="s">
        <v>77</v>
      </c>
      <c r="K18" s="9" t="s">
        <v>214</v>
      </c>
      <c r="L18" s="9" t="s">
        <v>215</v>
      </c>
      <c r="M18" s="9" t="s">
        <v>77</v>
      </c>
      <c r="N18" s="9" t="s">
        <v>216</v>
      </c>
      <c r="O18" s="9" t="s">
        <v>217</v>
      </c>
    </row>
    <row r="19" customFormat="false" ht="51.75" hidden="false" customHeight="true" outlineLevel="0" collapsed="false">
      <c r="A19" s="10" t="s">
        <v>218</v>
      </c>
      <c r="B19" s="11" t="s">
        <v>219</v>
      </c>
      <c r="C19" s="11" t="s">
        <v>220</v>
      </c>
      <c r="D19" s="11" t="s">
        <v>221</v>
      </c>
      <c r="E19" s="11" t="s">
        <v>74</v>
      </c>
      <c r="F19" s="11" t="s">
        <v>222</v>
      </c>
      <c r="G19" s="20" t="s">
        <v>76</v>
      </c>
      <c r="H19" s="11" t="s">
        <v>77</v>
      </c>
      <c r="I19" s="21" t="s">
        <v>77</v>
      </c>
      <c r="J19" s="11" t="s">
        <v>77</v>
      </c>
      <c r="K19" s="11" t="s">
        <v>223</v>
      </c>
      <c r="L19" s="11" t="s">
        <v>224</v>
      </c>
      <c r="M19" s="11" t="s">
        <v>77</v>
      </c>
      <c r="N19" s="11" t="s">
        <v>225</v>
      </c>
      <c r="O19" s="11" t="s">
        <v>226</v>
      </c>
    </row>
    <row r="20" customFormat="false" ht="51.75" hidden="false" customHeight="true" outlineLevel="0" collapsed="false">
      <c r="A20" s="8" t="s">
        <v>227</v>
      </c>
      <c r="B20" s="9" t="s">
        <v>228</v>
      </c>
      <c r="C20" s="9" t="s">
        <v>229</v>
      </c>
      <c r="D20" s="9" t="s">
        <v>230</v>
      </c>
      <c r="E20" s="9" t="s">
        <v>74</v>
      </c>
      <c r="F20" s="9" t="s">
        <v>231</v>
      </c>
      <c r="G20" s="22" t="s">
        <v>87</v>
      </c>
      <c r="H20" s="9" t="s">
        <v>232</v>
      </c>
      <c r="I20" s="24" t="s">
        <v>38</v>
      </c>
      <c r="J20" s="9" t="s">
        <v>233</v>
      </c>
      <c r="K20" s="9" t="s">
        <v>234</v>
      </c>
      <c r="L20" s="9" t="s">
        <v>235</v>
      </c>
      <c r="M20" s="9" t="s">
        <v>93</v>
      </c>
      <c r="N20" s="9" t="s">
        <v>236</v>
      </c>
      <c r="O20" s="9" t="s">
        <v>237</v>
      </c>
    </row>
    <row r="21" customFormat="false" ht="51.75" hidden="false" customHeight="true" outlineLevel="0" collapsed="false">
      <c r="A21" s="10" t="s">
        <v>238</v>
      </c>
      <c r="B21" s="11" t="s">
        <v>239</v>
      </c>
      <c r="C21" s="11" t="s">
        <v>240</v>
      </c>
      <c r="D21" s="11" t="s">
        <v>241</v>
      </c>
      <c r="E21" s="11" t="s">
        <v>139</v>
      </c>
      <c r="F21" s="11" t="s">
        <v>242</v>
      </c>
      <c r="G21" s="22" t="s">
        <v>87</v>
      </c>
      <c r="H21" s="11" t="s">
        <v>243</v>
      </c>
      <c r="I21" s="24" t="s">
        <v>38</v>
      </c>
      <c r="J21" s="11" t="s">
        <v>244</v>
      </c>
      <c r="K21" s="11" t="s">
        <v>245</v>
      </c>
      <c r="L21" s="11" t="s">
        <v>246</v>
      </c>
      <c r="M21" s="11" t="s">
        <v>247</v>
      </c>
      <c r="N21" s="11" t="s">
        <v>248</v>
      </c>
      <c r="O21" s="11" t="s">
        <v>249</v>
      </c>
    </row>
    <row r="22" customFormat="false" ht="51.75" hidden="false" customHeight="true" outlineLevel="0" collapsed="false">
      <c r="A22" s="8" t="s">
        <v>250</v>
      </c>
      <c r="B22" s="9" t="s">
        <v>251</v>
      </c>
      <c r="C22" s="9" t="s">
        <v>252</v>
      </c>
      <c r="D22" s="9" t="s">
        <v>253</v>
      </c>
      <c r="E22" s="9" t="s">
        <v>109</v>
      </c>
      <c r="F22" s="9" t="s">
        <v>254</v>
      </c>
      <c r="G22" s="22" t="s">
        <v>87</v>
      </c>
      <c r="H22" s="9" t="s">
        <v>255</v>
      </c>
      <c r="I22" s="24" t="s">
        <v>38</v>
      </c>
      <c r="J22" s="9" t="s">
        <v>256</v>
      </c>
      <c r="K22" s="9" t="s">
        <v>257</v>
      </c>
      <c r="L22" s="9" t="s">
        <v>258</v>
      </c>
      <c r="M22" s="9" t="s">
        <v>259</v>
      </c>
      <c r="N22" s="9" t="s">
        <v>260</v>
      </c>
      <c r="O22" s="9" t="s">
        <v>261</v>
      </c>
    </row>
    <row r="23" customFormat="false" ht="51.75" hidden="false" customHeight="true" outlineLevel="0" collapsed="false">
      <c r="A23" s="10" t="s">
        <v>262</v>
      </c>
      <c r="B23" s="11" t="s">
        <v>263</v>
      </c>
      <c r="C23" s="11" t="s">
        <v>264</v>
      </c>
      <c r="D23" s="11" t="s">
        <v>265</v>
      </c>
      <c r="E23" s="11" t="s">
        <v>109</v>
      </c>
      <c r="F23" s="11" t="s">
        <v>266</v>
      </c>
      <c r="G23" s="20" t="s">
        <v>76</v>
      </c>
      <c r="H23" s="11" t="s">
        <v>77</v>
      </c>
      <c r="I23" s="21" t="s">
        <v>77</v>
      </c>
      <c r="J23" s="11" t="s">
        <v>77</v>
      </c>
      <c r="K23" s="11" t="s">
        <v>267</v>
      </c>
      <c r="L23" s="11" t="s">
        <v>268</v>
      </c>
      <c r="M23" s="11" t="s">
        <v>77</v>
      </c>
      <c r="N23" s="11" t="s">
        <v>269</v>
      </c>
      <c r="O23" s="11" t="s">
        <v>270</v>
      </c>
    </row>
    <row r="24" customFormat="false" ht="51.75" hidden="false" customHeight="true" outlineLevel="0" collapsed="false">
      <c r="A24" s="8" t="s">
        <v>271</v>
      </c>
      <c r="B24" s="9" t="s">
        <v>272</v>
      </c>
      <c r="C24" s="9" t="s">
        <v>273</v>
      </c>
      <c r="D24" s="9" t="s">
        <v>274</v>
      </c>
      <c r="E24" s="9" t="s">
        <v>162</v>
      </c>
      <c r="F24" s="9" t="s">
        <v>275</v>
      </c>
      <c r="G24" s="22" t="s">
        <v>87</v>
      </c>
      <c r="H24" s="9" t="s">
        <v>276</v>
      </c>
      <c r="I24" s="23" t="s">
        <v>89</v>
      </c>
      <c r="J24" s="9" t="s">
        <v>277</v>
      </c>
      <c r="K24" s="9" t="s">
        <v>278</v>
      </c>
      <c r="L24" s="9" t="s">
        <v>155</v>
      </c>
      <c r="M24" s="9" t="s">
        <v>144</v>
      </c>
      <c r="N24" s="9" t="s">
        <v>279</v>
      </c>
      <c r="O24" s="9" t="s">
        <v>280</v>
      </c>
    </row>
    <row r="25" customFormat="false" ht="51.75" hidden="false" customHeight="true" outlineLevel="0" collapsed="false">
      <c r="A25" s="10" t="s">
        <v>281</v>
      </c>
      <c r="B25" s="11" t="s">
        <v>282</v>
      </c>
      <c r="C25" s="11" t="s">
        <v>283</v>
      </c>
      <c r="D25" s="11" t="s">
        <v>284</v>
      </c>
      <c r="E25" s="11" t="s">
        <v>74</v>
      </c>
      <c r="F25" s="11" t="s">
        <v>285</v>
      </c>
      <c r="G25" s="22" t="s">
        <v>87</v>
      </c>
      <c r="H25" s="11" t="s">
        <v>286</v>
      </c>
      <c r="I25" s="23" t="s">
        <v>89</v>
      </c>
      <c r="J25" s="11" t="s">
        <v>287</v>
      </c>
      <c r="K25" s="11" t="s">
        <v>288</v>
      </c>
      <c r="L25" s="11" t="s">
        <v>123</v>
      </c>
      <c r="M25" s="11" t="s">
        <v>114</v>
      </c>
      <c r="N25" s="11" t="s">
        <v>289</v>
      </c>
      <c r="O25" s="11" t="s">
        <v>290</v>
      </c>
    </row>
    <row r="26" customFormat="false" ht="51.75" hidden="false" customHeight="true" outlineLevel="0" collapsed="false">
      <c r="A26" s="8" t="s">
        <v>291</v>
      </c>
      <c r="B26" s="9" t="s">
        <v>292</v>
      </c>
      <c r="C26" s="9" t="s">
        <v>293</v>
      </c>
      <c r="D26" s="9" t="s">
        <v>294</v>
      </c>
      <c r="E26" s="9" t="s">
        <v>162</v>
      </c>
      <c r="F26" s="9" t="s">
        <v>295</v>
      </c>
      <c r="G26" s="20" t="s">
        <v>76</v>
      </c>
      <c r="H26" s="9" t="s">
        <v>77</v>
      </c>
      <c r="I26" s="21" t="s">
        <v>77</v>
      </c>
      <c r="J26" s="9" t="s">
        <v>77</v>
      </c>
      <c r="K26" s="9" t="s">
        <v>296</v>
      </c>
      <c r="L26" s="9" t="s">
        <v>297</v>
      </c>
      <c r="M26" s="9" t="s">
        <v>77</v>
      </c>
      <c r="N26" s="9" t="s">
        <v>298</v>
      </c>
      <c r="O26" s="9" t="s">
        <v>299</v>
      </c>
    </row>
    <row r="27" customFormat="false" ht="51.75" hidden="false" customHeight="true" outlineLevel="0" collapsed="false">
      <c r="A27" s="10" t="s">
        <v>300</v>
      </c>
      <c r="B27" s="11" t="s">
        <v>301</v>
      </c>
      <c r="C27" s="11" t="s">
        <v>302</v>
      </c>
      <c r="D27" s="11" t="s">
        <v>303</v>
      </c>
      <c r="E27" s="11" t="s">
        <v>74</v>
      </c>
      <c r="F27" s="11" t="s">
        <v>304</v>
      </c>
      <c r="G27" s="22" t="s">
        <v>87</v>
      </c>
      <c r="H27" s="11" t="s">
        <v>305</v>
      </c>
      <c r="I27" s="24" t="s">
        <v>38</v>
      </c>
      <c r="J27" s="11" t="s">
        <v>306</v>
      </c>
      <c r="K27" s="11" t="s">
        <v>307</v>
      </c>
      <c r="L27" s="11" t="s">
        <v>235</v>
      </c>
      <c r="M27" s="11" t="s">
        <v>308</v>
      </c>
      <c r="N27" s="11" t="s">
        <v>309</v>
      </c>
      <c r="O27" s="11" t="s">
        <v>310</v>
      </c>
    </row>
    <row r="28" customFormat="false" ht="6" hidden="false" customHeight="true" outlineLevel="0" collapsed="false"/>
    <row r="29" customFormat="false" ht="21.75" hidden="false" customHeight="true" outlineLevel="0" collapsed="false">
      <c r="A29" s="19" t="s">
        <v>35</v>
      </c>
      <c r="B29" s="19"/>
      <c r="C29" s="19"/>
      <c r="D29" s="19"/>
      <c r="E29" s="19"/>
      <c r="F29" s="19"/>
      <c r="G29" s="19"/>
      <c r="H29" s="19"/>
      <c r="I29" s="19"/>
      <c r="J29" s="19"/>
      <c r="K29" s="19"/>
      <c r="L29" s="19"/>
      <c r="M29" s="19"/>
      <c r="N29" s="19"/>
      <c r="O29" s="19"/>
    </row>
    <row r="30" customFormat="false" ht="51.75" hidden="false" customHeight="true" outlineLevel="0" collapsed="false">
      <c r="A30" s="8" t="s">
        <v>311</v>
      </c>
      <c r="B30" s="9" t="s">
        <v>312</v>
      </c>
      <c r="C30" s="9" t="s">
        <v>313</v>
      </c>
      <c r="D30" s="9" t="s">
        <v>314</v>
      </c>
      <c r="E30" s="9" t="s">
        <v>139</v>
      </c>
      <c r="F30" s="9" t="s">
        <v>315</v>
      </c>
      <c r="G30" s="20" t="s">
        <v>76</v>
      </c>
      <c r="H30" s="9" t="s">
        <v>77</v>
      </c>
      <c r="I30" s="21" t="s">
        <v>77</v>
      </c>
      <c r="J30" s="9" t="s">
        <v>77</v>
      </c>
      <c r="K30" s="9" t="s">
        <v>316</v>
      </c>
      <c r="L30" s="9" t="s">
        <v>317</v>
      </c>
      <c r="M30" s="9" t="s">
        <v>77</v>
      </c>
      <c r="N30" s="9" t="s">
        <v>318</v>
      </c>
      <c r="O30" s="9" t="s">
        <v>319</v>
      </c>
    </row>
    <row r="31" customFormat="false" ht="51.75" hidden="false" customHeight="true" outlineLevel="0" collapsed="false">
      <c r="A31" s="10" t="s">
        <v>320</v>
      </c>
      <c r="B31" s="11" t="s">
        <v>321</v>
      </c>
      <c r="C31" s="11" t="s">
        <v>322</v>
      </c>
      <c r="D31" s="11" t="s">
        <v>323</v>
      </c>
      <c r="E31" s="11" t="s">
        <v>324</v>
      </c>
      <c r="F31" s="11" t="s">
        <v>325</v>
      </c>
      <c r="G31" s="22" t="s">
        <v>87</v>
      </c>
      <c r="H31" s="11" t="s">
        <v>326</v>
      </c>
      <c r="I31" s="23" t="s">
        <v>89</v>
      </c>
      <c r="J31" s="11" t="s">
        <v>327</v>
      </c>
      <c r="K31" s="11" t="s">
        <v>328</v>
      </c>
      <c r="L31" s="11" t="s">
        <v>317</v>
      </c>
      <c r="M31" s="11" t="s">
        <v>114</v>
      </c>
      <c r="N31" s="11" t="s">
        <v>329</v>
      </c>
      <c r="O31" s="11" t="s">
        <v>330</v>
      </c>
    </row>
    <row r="32" customFormat="false" ht="51.75" hidden="false" customHeight="true" outlineLevel="0" collapsed="false">
      <c r="A32" s="8" t="s">
        <v>331</v>
      </c>
      <c r="B32" s="9" t="s">
        <v>332</v>
      </c>
      <c r="C32" s="9" t="s">
        <v>333</v>
      </c>
      <c r="D32" s="9" t="s">
        <v>334</v>
      </c>
      <c r="E32" s="9" t="s">
        <v>162</v>
      </c>
      <c r="F32" s="9" t="s">
        <v>335</v>
      </c>
      <c r="G32" s="20" t="s">
        <v>76</v>
      </c>
      <c r="H32" s="9" t="s">
        <v>77</v>
      </c>
      <c r="I32" s="21" t="s">
        <v>77</v>
      </c>
      <c r="J32" s="9" t="s">
        <v>77</v>
      </c>
      <c r="K32" s="9" t="s">
        <v>336</v>
      </c>
      <c r="L32" s="9" t="s">
        <v>297</v>
      </c>
      <c r="M32" s="9" t="s">
        <v>77</v>
      </c>
      <c r="N32" s="9" t="s">
        <v>337</v>
      </c>
      <c r="O32" s="9" t="s">
        <v>338</v>
      </c>
    </row>
    <row r="33" customFormat="false" ht="6" hidden="false" customHeight="true" outlineLevel="0" collapsed="false"/>
    <row r="34" customFormat="false" ht="21.75" hidden="false" customHeight="true" outlineLevel="0" collapsed="false">
      <c r="A34" s="19" t="s">
        <v>39</v>
      </c>
      <c r="B34" s="19"/>
      <c r="C34" s="19"/>
      <c r="D34" s="19"/>
      <c r="E34" s="19"/>
      <c r="F34" s="19"/>
      <c r="G34" s="19"/>
      <c r="H34" s="19"/>
      <c r="I34" s="19"/>
      <c r="J34" s="19"/>
      <c r="K34" s="19"/>
      <c r="L34" s="19"/>
      <c r="M34" s="19"/>
      <c r="N34" s="19"/>
      <c r="O34" s="19"/>
    </row>
    <row r="35" customFormat="false" ht="51.75" hidden="false" customHeight="true" outlineLevel="0" collapsed="false">
      <c r="A35" s="10" t="s">
        <v>339</v>
      </c>
      <c r="B35" s="11" t="s">
        <v>340</v>
      </c>
      <c r="C35" s="11" t="s">
        <v>341</v>
      </c>
      <c r="D35" s="11" t="s">
        <v>342</v>
      </c>
      <c r="E35" s="11" t="s">
        <v>74</v>
      </c>
      <c r="F35" s="11" t="s">
        <v>343</v>
      </c>
      <c r="G35" s="20" t="s">
        <v>76</v>
      </c>
      <c r="H35" s="11" t="s">
        <v>77</v>
      </c>
      <c r="I35" s="21" t="s">
        <v>77</v>
      </c>
      <c r="J35" s="11" t="s">
        <v>77</v>
      </c>
      <c r="K35" s="11" t="s">
        <v>344</v>
      </c>
      <c r="L35" s="11" t="s">
        <v>246</v>
      </c>
      <c r="M35" s="11" t="s">
        <v>77</v>
      </c>
      <c r="N35" s="11" t="s">
        <v>345</v>
      </c>
      <c r="O35" s="11" t="s">
        <v>346</v>
      </c>
    </row>
    <row r="36" customFormat="false" ht="51.75" hidden="false" customHeight="true" outlineLevel="0" collapsed="false">
      <c r="A36" s="8" t="s">
        <v>347</v>
      </c>
      <c r="B36" s="9" t="s">
        <v>348</v>
      </c>
      <c r="C36" s="9" t="s">
        <v>349</v>
      </c>
      <c r="D36" s="9" t="s">
        <v>350</v>
      </c>
      <c r="E36" s="9" t="s">
        <v>74</v>
      </c>
      <c r="F36" s="9" t="s">
        <v>351</v>
      </c>
      <c r="G36" s="22" t="s">
        <v>87</v>
      </c>
      <c r="H36" s="9" t="s">
        <v>352</v>
      </c>
      <c r="I36" s="23" t="s">
        <v>89</v>
      </c>
      <c r="J36" s="9" t="s">
        <v>353</v>
      </c>
      <c r="K36" s="9" t="s">
        <v>354</v>
      </c>
      <c r="L36" s="9" t="s">
        <v>155</v>
      </c>
      <c r="M36" s="9" t="s">
        <v>247</v>
      </c>
      <c r="N36" s="9" t="s">
        <v>355</v>
      </c>
      <c r="O36" s="9" t="s">
        <v>356</v>
      </c>
    </row>
    <row r="37" customFormat="false" ht="6" hidden="false" customHeight="true" outlineLevel="0" collapsed="false"/>
    <row r="38" customFormat="false" ht="21.75" hidden="false" customHeight="true" outlineLevel="0" collapsed="false">
      <c r="A38" s="19" t="s">
        <v>42</v>
      </c>
      <c r="B38" s="19"/>
      <c r="C38" s="19"/>
      <c r="D38" s="19"/>
      <c r="E38" s="19"/>
      <c r="F38" s="19"/>
      <c r="G38" s="19"/>
      <c r="H38" s="19"/>
      <c r="I38" s="19"/>
      <c r="J38" s="19"/>
      <c r="K38" s="19"/>
      <c r="L38" s="19"/>
      <c r="M38" s="19"/>
      <c r="N38" s="19"/>
      <c r="O38" s="19"/>
    </row>
    <row r="39" customFormat="false" ht="51.75" hidden="false" customHeight="true" outlineLevel="0" collapsed="false">
      <c r="A39" s="10" t="s">
        <v>357</v>
      </c>
      <c r="B39" s="11" t="s">
        <v>358</v>
      </c>
      <c r="C39" s="11" t="s">
        <v>359</v>
      </c>
      <c r="D39" s="11" t="s">
        <v>360</v>
      </c>
      <c r="E39" s="11" t="s">
        <v>74</v>
      </c>
      <c r="F39" s="11" t="s">
        <v>361</v>
      </c>
      <c r="G39" s="20" t="s">
        <v>76</v>
      </c>
      <c r="H39" s="11" t="s">
        <v>77</v>
      </c>
      <c r="I39" s="21" t="s">
        <v>77</v>
      </c>
      <c r="J39" s="11" t="s">
        <v>77</v>
      </c>
      <c r="K39" s="11" t="s">
        <v>362</v>
      </c>
      <c r="L39" s="11" t="s">
        <v>155</v>
      </c>
      <c r="M39" s="11" t="s">
        <v>77</v>
      </c>
      <c r="N39" s="11" t="s">
        <v>363</v>
      </c>
      <c r="O39" s="11" t="s">
        <v>364</v>
      </c>
    </row>
    <row r="40" customFormat="false" ht="51.75" hidden="false" customHeight="true" outlineLevel="0" collapsed="false">
      <c r="A40" s="8" t="s">
        <v>365</v>
      </c>
      <c r="B40" s="9" t="s">
        <v>366</v>
      </c>
      <c r="C40" s="9" t="s">
        <v>367</v>
      </c>
      <c r="D40" s="9" t="s">
        <v>368</v>
      </c>
      <c r="E40" s="9" t="s">
        <v>74</v>
      </c>
      <c r="F40" s="9" t="s">
        <v>369</v>
      </c>
      <c r="G40" s="22" t="s">
        <v>87</v>
      </c>
      <c r="H40" s="9" t="s">
        <v>370</v>
      </c>
      <c r="I40" s="26" t="s">
        <v>34</v>
      </c>
      <c r="J40" s="9" t="s">
        <v>371</v>
      </c>
      <c r="K40" s="9" t="s">
        <v>372</v>
      </c>
      <c r="L40" s="9" t="s">
        <v>373</v>
      </c>
      <c r="M40" s="9" t="s">
        <v>374</v>
      </c>
      <c r="N40" s="9" t="s">
        <v>375</v>
      </c>
      <c r="O40" s="9" t="s">
        <v>376</v>
      </c>
    </row>
    <row r="41" customFormat="false" ht="51.75" hidden="false" customHeight="true" outlineLevel="0" collapsed="false">
      <c r="A41" s="10" t="s">
        <v>377</v>
      </c>
      <c r="B41" s="11" t="s">
        <v>378</v>
      </c>
      <c r="C41" s="11" t="s">
        <v>379</v>
      </c>
      <c r="D41" s="11" t="s">
        <v>380</v>
      </c>
      <c r="E41" s="11" t="s">
        <v>74</v>
      </c>
      <c r="F41" s="11" t="s">
        <v>381</v>
      </c>
      <c r="G41" s="22" t="s">
        <v>87</v>
      </c>
      <c r="H41" s="11" t="s">
        <v>382</v>
      </c>
      <c r="I41" s="24" t="s">
        <v>38</v>
      </c>
      <c r="J41" s="11" t="s">
        <v>383</v>
      </c>
      <c r="K41" s="11" t="s">
        <v>384</v>
      </c>
      <c r="L41" s="11" t="s">
        <v>385</v>
      </c>
      <c r="M41" s="11" t="s">
        <v>93</v>
      </c>
      <c r="N41" s="11" t="s">
        <v>386</v>
      </c>
      <c r="O41" s="11" t="s">
        <v>387</v>
      </c>
    </row>
    <row r="42" customFormat="false" ht="51.75" hidden="false" customHeight="true" outlineLevel="0" collapsed="false">
      <c r="A42" s="8" t="s">
        <v>388</v>
      </c>
      <c r="B42" s="9" t="s">
        <v>389</v>
      </c>
      <c r="C42" s="9" t="s">
        <v>390</v>
      </c>
      <c r="D42" s="9" t="s">
        <v>391</v>
      </c>
      <c r="E42" s="9" t="s">
        <v>74</v>
      </c>
      <c r="F42" s="9" t="s">
        <v>392</v>
      </c>
      <c r="G42" s="22" t="s">
        <v>87</v>
      </c>
      <c r="H42" s="9" t="s">
        <v>393</v>
      </c>
      <c r="I42" s="24" t="s">
        <v>38</v>
      </c>
      <c r="J42" s="9" t="s">
        <v>394</v>
      </c>
      <c r="K42" s="9" t="s">
        <v>395</v>
      </c>
      <c r="L42" s="9" t="s">
        <v>396</v>
      </c>
      <c r="M42" s="9" t="s">
        <v>114</v>
      </c>
      <c r="N42" s="9" t="s">
        <v>397</v>
      </c>
      <c r="O42" s="9" t="s">
        <v>398</v>
      </c>
    </row>
    <row r="43" customFormat="false" ht="51.75" hidden="false" customHeight="true" outlineLevel="0" collapsed="false">
      <c r="A43" s="10" t="s">
        <v>399</v>
      </c>
      <c r="B43" s="11" t="s">
        <v>400</v>
      </c>
      <c r="C43" s="11" t="s">
        <v>401</v>
      </c>
      <c r="D43" s="11" t="s">
        <v>402</v>
      </c>
      <c r="E43" s="11" t="s">
        <v>109</v>
      </c>
      <c r="F43" s="11" t="s">
        <v>403</v>
      </c>
      <c r="G43" s="22" t="s">
        <v>87</v>
      </c>
      <c r="H43" s="11" t="s">
        <v>404</v>
      </c>
      <c r="I43" s="23" t="s">
        <v>89</v>
      </c>
      <c r="J43" s="11" t="s">
        <v>405</v>
      </c>
      <c r="K43" s="11" t="s">
        <v>406</v>
      </c>
      <c r="L43" s="11" t="s">
        <v>385</v>
      </c>
      <c r="M43" s="11" t="s">
        <v>144</v>
      </c>
      <c r="N43" s="11" t="s">
        <v>407</v>
      </c>
      <c r="O43" s="11" t="s">
        <v>408</v>
      </c>
    </row>
    <row r="44" customFormat="false" ht="51.75" hidden="false" customHeight="true" outlineLevel="0" collapsed="false">
      <c r="A44" s="8" t="s">
        <v>409</v>
      </c>
      <c r="B44" s="9" t="s">
        <v>410</v>
      </c>
      <c r="C44" s="9" t="s">
        <v>411</v>
      </c>
      <c r="D44" s="9" t="s">
        <v>412</v>
      </c>
      <c r="E44" s="9" t="s">
        <v>162</v>
      </c>
      <c r="F44" s="9" t="s">
        <v>413</v>
      </c>
      <c r="G44" s="22" t="s">
        <v>87</v>
      </c>
      <c r="H44" s="9" t="s">
        <v>414</v>
      </c>
      <c r="I44" s="23" t="s">
        <v>89</v>
      </c>
      <c r="J44" s="9" t="s">
        <v>415</v>
      </c>
      <c r="K44" s="9" t="s">
        <v>416</v>
      </c>
      <c r="L44" s="9" t="s">
        <v>155</v>
      </c>
      <c r="M44" s="9" t="s">
        <v>114</v>
      </c>
      <c r="N44" s="9" t="s">
        <v>417</v>
      </c>
      <c r="O44" s="9" t="s">
        <v>418</v>
      </c>
    </row>
  </sheetData>
  <mergeCells count="6">
    <mergeCell ref="A1:O1"/>
    <mergeCell ref="A2:O2"/>
    <mergeCell ref="A4:O4"/>
    <mergeCell ref="A29:O29"/>
    <mergeCell ref="A34:O34"/>
    <mergeCell ref="A38:O38"/>
  </mergeCells>
  <dataValidations count="3">
    <dataValidation allowBlank="false" errorStyle="stop" operator="between" showDropDown="false" showErrorMessage="false" showInputMessage="false" sqref="G5:G27 G30:G32 G35:G36 G39:G44" type="list">
      <formula1>"Designed and Implemented,Partially Designed,Not Designed,Not Applicable"</formula1>
      <formula2>0</formula2>
    </dataValidation>
    <dataValidation allowBlank="false" errorStyle="stop" operator="between" showDropDown="false" showErrorMessage="false" showInputMessage="false" sqref="I5:I27 I30:I32 I35:I36 I39:I44" type="list">
      <formula1>"Critical,High,Medium,Low,N/A"</formula1>
      <formula2>0</formula2>
    </dataValidation>
    <dataValidation allowBlank="false" errorStyle="stop" operator="between" showDropDown="false" showErrorMessage="false" showInputMessage="false" sqref="E5:E27 E30:E32 E35:E36 E39:E44" type="list">
      <formula1>"Preventive,Detective,Corrective,Preventive and Detective,Preventive and Corrective"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9"/>
    <col collapsed="false" customWidth="true" hidden="false" outlineLevel="0" max="4" min="4" style="1" width="38"/>
    <col collapsed="false" customWidth="true" hidden="false" outlineLevel="0" max="5" min="5" style="1" width="28"/>
    <col collapsed="false" customWidth="true" hidden="false" outlineLevel="0" max="6" min="6" style="1" width="12"/>
    <col collapsed="false" customWidth="true" hidden="false" outlineLevel="0" max="7" min="7" style="1" width="30"/>
    <col collapsed="false" customWidth="true" hidden="false" outlineLevel="0" max="8" min="8" style="1" width="18"/>
    <col collapsed="false" customWidth="true" hidden="false" outlineLevel="0" max="10" min="9" style="1" width="13"/>
    <col collapsed="false" customWidth="true" hidden="false" outlineLevel="0" max="11" min="11" style="1" width="28"/>
  </cols>
  <sheetData>
    <row r="1" customFormat="false" ht="27.75" hidden="false" customHeight="true" outlineLevel="0" collapsed="false">
      <c r="A1" s="16" t="s">
        <v>419</v>
      </c>
      <c r="B1" s="16"/>
      <c r="C1" s="16"/>
      <c r="D1" s="16"/>
      <c r="E1" s="16"/>
      <c r="F1" s="16"/>
      <c r="G1" s="16"/>
      <c r="H1" s="16"/>
      <c r="I1" s="16"/>
      <c r="J1" s="16"/>
      <c r="K1" s="16"/>
    </row>
    <row r="2" customFormat="false" ht="25.5" hidden="false" customHeight="true" outlineLevel="0" collapsed="false">
      <c r="A2" s="18" t="s">
        <v>420</v>
      </c>
      <c r="B2" s="18" t="s">
        <v>55</v>
      </c>
      <c r="C2" s="18" t="s">
        <v>46</v>
      </c>
      <c r="D2" s="18" t="s">
        <v>421</v>
      </c>
      <c r="E2" s="18" t="s">
        <v>422</v>
      </c>
      <c r="F2" s="18" t="s">
        <v>63</v>
      </c>
      <c r="G2" s="18" t="s">
        <v>423</v>
      </c>
      <c r="H2" s="18" t="s">
        <v>424</v>
      </c>
      <c r="I2" s="18" t="s">
        <v>67</v>
      </c>
      <c r="J2" s="18" t="s">
        <v>425</v>
      </c>
      <c r="K2" s="18" t="s">
        <v>426</v>
      </c>
    </row>
    <row r="3" customFormat="false" ht="55.5" hidden="false" customHeight="true" outlineLevel="0" collapsed="false">
      <c r="A3" s="27" t="s">
        <v>427</v>
      </c>
      <c r="B3" s="28" t="s">
        <v>365</v>
      </c>
      <c r="C3" s="28" t="s">
        <v>428</v>
      </c>
      <c r="D3" s="28" t="s">
        <v>429</v>
      </c>
      <c r="E3" s="28" t="s">
        <v>430</v>
      </c>
      <c r="F3" s="27" t="s">
        <v>34</v>
      </c>
      <c r="G3" s="28" t="s">
        <v>431</v>
      </c>
      <c r="H3" s="28" t="s">
        <v>373</v>
      </c>
      <c r="I3" s="28" t="s">
        <v>374</v>
      </c>
      <c r="J3" s="28" t="s">
        <v>432</v>
      </c>
      <c r="K3" s="28" t="s">
        <v>433</v>
      </c>
    </row>
    <row r="4" customFormat="false" ht="55.5" hidden="false" customHeight="true" outlineLevel="0" collapsed="false">
      <c r="A4" s="29" t="s">
        <v>434</v>
      </c>
      <c r="B4" s="30" t="s">
        <v>300</v>
      </c>
      <c r="C4" s="30" t="s">
        <v>435</v>
      </c>
      <c r="D4" s="30" t="s">
        <v>436</v>
      </c>
      <c r="E4" s="30" t="s">
        <v>437</v>
      </c>
      <c r="F4" s="29" t="s">
        <v>38</v>
      </c>
      <c r="G4" s="30" t="s">
        <v>438</v>
      </c>
      <c r="H4" s="30" t="s">
        <v>235</v>
      </c>
      <c r="I4" s="30" t="s">
        <v>308</v>
      </c>
      <c r="J4" s="28" t="s">
        <v>432</v>
      </c>
      <c r="K4" s="30" t="s">
        <v>439</v>
      </c>
    </row>
    <row r="5" customFormat="false" ht="55.5" hidden="false" customHeight="true" outlineLevel="0" collapsed="false">
      <c r="A5" s="29" t="s">
        <v>440</v>
      </c>
      <c r="B5" s="30" t="s">
        <v>135</v>
      </c>
      <c r="C5" s="30" t="s">
        <v>435</v>
      </c>
      <c r="D5" s="30" t="s">
        <v>441</v>
      </c>
      <c r="E5" s="30" t="s">
        <v>442</v>
      </c>
      <c r="F5" s="29" t="s">
        <v>38</v>
      </c>
      <c r="G5" s="30" t="s">
        <v>443</v>
      </c>
      <c r="H5" s="30" t="s">
        <v>92</v>
      </c>
      <c r="I5" s="30" t="s">
        <v>144</v>
      </c>
      <c r="J5" s="28" t="s">
        <v>432</v>
      </c>
      <c r="K5" s="30" t="s">
        <v>444</v>
      </c>
    </row>
    <row r="6" customFormat="false" ht="55.5" hidden="false" customHeight="true" outlineLevel="0" collapsed="false">
      <c r="A6" s="29" t="s">
        <v>445</v>
      </c>
      <c r="B6" s="30" t="s">
        <v>227</v>
      </c>
      <c r="C6" s="30" t="s">
        <v>435</v>
      </c>
      <c r="D6" s="30" t="s">
        <v>446</v>
      </c>
      <c r="E6" s="30" t="s">
        <v>447</v>
      </c>
      <c r="F6" s="29" t="s">
        <v>38</v>
      </c>
      <c r="G6" s="30" t="s">
        <v>448</v>
      </c>
      <c r="H6" s="30" t="s">
        <v>235</v>
      </c>
      <c r="I6" s="30" t="s">
        <v>93</v>
      </c>
      <c r="J6" s="28" t="s">
        <v>432</v>
      </c>
      <c r="K6" s="30" t="s">
        <v>449</v>
      </c>
    </row>
    <row r="7" customFormat="false" ht="55.5" hidden="false" customHeight="true" outlineLevel="0" collapsed="false">
      <c r="A7" s="29" t="s">
        <v>450</v>
      </c>
      <c r="B7" s="30" t="s">
        <v>198</v>
      </c>
      <c r="C7" s="30" t="s">
        <v>435</v>
      </c>
      <c r="D7" s="30" t="s">
        <v>451</v>
      </c>
      <c r="E7" s="30" t="s">
        <v>452</v>
      </c>
      <c r="F7" s="29" t="s">
        <v>38</v>
      </c>
      <c r="G7" s="30" t="s">
        <v>453</v>
      </c>
      <c r="H7" s="30" t="s">
        <v>206</v>
      </c>
      <c r="I7" s="30" t="s">
        <v>167</v>
      </c>
      <c r="J7" s="28" t="s">
        <v>432</v>
      </c>
      <c r="K7" s="30" t="s">
        <v>454</v>
      </c>
    </row>
    <row r="8" customFormat="false" ht="55.5" hidden="false" customHeight="true" outlineLevel="0" collapsed="false">
      <c r="A8" s="29" t="s">
        <v>455</v>
      </c>
      <c r="B8" s="30" t="s">
        <v>250</v>
      </c>
      <c r="C8" s="30" t="s">
        <v>435</v>
      </c>
      <c r="D8" s="30" t="s">
        <v>456</v>
      </c>
      <c r="E8" s="30" t="s">
        <v>457</v>
      </c>
      <c r="F8" s="29" t="s">
        <v>38</v>
      </c>
      <c r="G8" s="30" t="s">
        <v>458</v>
      </c>
      <c r="H8" s="30" t="s">
        <v>258</v>
      </c>
      <c r="I8" s="30" t="s">
        <v>259</v>
      </c>
      <c r="J8" s="28" t="s">
        <v>432</v>
      </c>
      <c r="K8" s="30" t="s">
        <v>459</v>
      </c>
    </row>
    <row r="9" customFormat="false" ht="55.5" hidden="false" customHeight="true" outlineLevel="0" collapsed="false">
      <c r="A9" s="29" t="s">
        <v>460</v>
      </c>
      <c r="B9" s="30" t="s">
        <v>300</v>
      </c>
      <c r="C9" s="30" t="s">
        <v>435</v>
      </c>
      <c r="D9" s="30" t="s">
        <v>461</v>
      </c>
      <c r="E9" s="30" t="s">
        <v>462</v>
      </c>
      <c r="F9" s="29" t="s">
        <v>38</v>
      </c>
      <c r="G9" s="30" t="s">
        <v>463</v>
      </c>
      <c r="H9" s="30" t="s">
        <v>235</v>
      </c>
      <c r="I9" s="30" t="s">
        <v>308</v>
      </c>
      <c r="J9" s="28" t="s">
        <v>432</v>
      </c>
      <c r="K9" s="30" t="s">
        <v>464</v>
      </c>
    </row>
    <row r="10" customFormat="false" ht="55.5" hidden="false" customHeight="true" outlineLevel="0" collapsed="false">
      <c r="A10" s="29" t="s">
        <v>465</v>
      </c>
      <c r="B10" s="30" t="s">
        <v>377</v>
      </c>
      <c r="C10" s="30" t="s">
        <v>428</v>
      </c>
      <c r="D10" s="30" t="s">
        <v>466</v>
      </c>
      <c r="E10" s="30" t="s">
        <v>467</v>
      </c>
      <c r="F10" s="29" t="s">
        <v>38</v>
      </c>
      <c r="G10" s="30" t="s">
        <v>468</v>
      </c>
      <c r="H10" s="30" t="s">
        <v>385</v>
      </c>
      <c r="I10" s="30" t="s">
        <v>93</v>
      </c>
      <c r="J10" s="28" t="s">
        <v>432</v>
      </c>
      <c r="K10" s="30" t="s">
        <v>469</v>
      </c>
    </row>
    <row r="11" customFormat="false" ht="55.5" hidden="false" customHeight="true" outlineLevel="0" collapsed="false">
      <c r="A11" s="29" t="s">
        <v>470</v>
      </c>
      <c r="B11" s="30" t="s">
        <v>158</v>
      </c>
      <c r="C11" s="30" t="s">
        <v>435</v>
      </c>
      <c r="D11" s="30" t="s">
        <v>471</v>
      </c>
      <c r="E11" s="30" t="s">
        <v>472</v>
      </c>
      <c r="F11" s="29" t="s">
        <v>38</v>
      </c>
      <c r="G11" s="30" t="s">
        <v>473</v>
      </c>
      <c r="H11" s="30" t="s">
        <v>155</v>
      </c>
      <c r="I11" s="30" t="s">
        <v>167</v>
      </c>
      <c r="J11" s="28" t="s">
        <v>432</v>
      </c>
      <c r="K11" s="30" t="s">
        <v>474</v>
      </c>
    </row>
    <row r="12" customFormat="false" ht="55.5" hidden="false" customHeight="true" outlineLevel="0" collapsed="false">
      <c r="A12" s="29" t="s">
        <v>475</v>
      </c>
      <c r="B12" s="30" t="s">
        <v>388</v>
      </c>
      <c r="C12" s="30" t="s">
        <v>428</v>
      </c>
      <c r="D12" s="30" t="s">
        <v>476</v>
      </c>
      <c r="E12" s="30" t="s">
        <v>477</v>
      </c>
      <c r="F12" s="29" t="s">
        <v>38</v>
      </c>
      <c r="G12" s="30" t="s">
        <v>478</v>
      </c>
      <c r="H12" s="30" t="s">
        <v>396</v>
      </c>
      <c r="I12" s="30" t="s">
        <v>114</v>
      </c>
      <c r="J12" s="28" t="s">
        <v>432</v>
      </c>
      <c r="K12" s="30" t="s">
        <v>479</v>
      </c>
    </row>
    <row r="13" customFormat="false" ht="55.5" hidden="false" customHeight="true" outlineLevel="0" collapsed="false">
      <c r="A13" s="29" t="s">
        <v>480</v>
      </c>
      <c r="B13" s="30" t="s">
        <v>178</v>
      </c>
      <c r="C13" s="30" t="s">
        <v>435</v>
      </c>
      <c r="D13" s="30" t="s">
        <v>481</v>
      </c>
      <c r="E13" s="30" t="s">
        <v>482</v>
      </c>
      <c r="F13" s="29" t="s">
        <v>38</v>
      </c>
      <c r="G13" s="30" t="s">
        <v>483</v>
      </c>
      <c r="H13" s="30" t="s">
        <v>186</v>
      </c>
      <c r="I13" s="30" t="s">
        <v>114</v>
      </c>
      <c r="J13" s="28" t="s">
        <v>432</v>
      </c>
      <c r="K13" s="30" t="s">
        <v>484</v>
      </c>
    </row>
    <row r="14" customFormat="false" ht="55.5" hidden="false" customHeight="true" outlineLevel="0" collapsed="false">
      <c r="A14" s="31" t="s">
        <v>485</v>
      </c>
      <c r="B14" s="32" t="s">
        <v>347</v>
      </c>
      <c r="C14" s="32" t="s">
        <v>486</v>
      </c>
      <c r="D14" s="32" t="s">
        <v>487</v>
      </c>
      <c r="E14" s="32" t="s">
        <v>488</v>
      </c>
      <c r="F14" s="31" t="s">
        <v>89</v>
      </c>
      <c r="G14" s="32" t="s">
        <v>489</v>
      </c>
      <c r="H14" s="32" t="s">
        <v>155</v>
      </c>
      <c r="I14" s="32" t="s">
        <v>247</v>
      </c>
      <c r="J14" s="28" t="s">
        <v>432</v>
      </c>
      <c r="K14" s="32" t="s">
        <v>490</v>
      </c>
    </row>
  </sheetData>
  <mergeCells count="1">
    <mergeCell ref="A1:K1"/>
  </mergeCells>
  <dataValidations count="2">
    <dataValidation allowBlank="false" errorStyle="stop" operator="between" showDropDown="false" showErrorMessage="false" showInputMessage="false" sqref="J3:J14" type="list">
      <formula1>"Open,In Progress,Closed"</formula1>
      <formula2>0</formula2>
    </dataValidation>
    <dataValidation allowBlank="false" errorStyle="stop" operator="between" showDropDown="false" showErrorMessage="false" showInputMessage="false" sqref="F3:F14"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2026-05-28T21:55:47Z</dcterms:created>
  <dc:creator>openpyxl</dc:creator>
  <dc:description/>
  <dc:language>en-US</dc:language>
  <cp:lastModifiedBy/>
  <dcterms:modified xsi:type="dcterms:W3CDTF">2026-05-31T00:01:36Z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